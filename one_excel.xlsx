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filterPrivacy="1"/>
  <xr:revisionPtr revIDLastSave="0" documentId="13_ncr:1_{2D5EE921-01A7-4DAF-99A7-5AB04276EAD2}" xr6:coauthVersionLast="36" xr6:coauthVersionMax="36" xr10:uidLastSave="{00000000-0000-0000-0000-000000000000}"/>
  <bookViews>
    <workbookView xWindow="0" yWindow="0" windowWidth="22260" windowHeight="12648" activeTab="4" xr2:uid="{00000000-000D-0000-FFFF-FFFF00000000}"/>
  </bookViews>
  <sheets>
    <sheet name="Table of contents" sheetId="4" r:id="rId1"/>
    <sheet name="uberseminar" sheetId="1" r:id="rId2"/>
    <sheet name="robot_trajectory_summary" sheetId="18" r:id="rId3"/>
    <sheet name="summary" sheetId="2" r:id="rId4"/>
    <sheet name="hand_trajectory_summary" sheetId="10" r:id="rId5"/>
    <sheet name="cluster_without_gt" sheetId="14" r:id="rId6"/>
    <sheet name="playground" sheetId="5" r:id="rId7"/>
    <sheet name="Trajectory_sync" sheetId="15" r:id="rId8"/>
    <sheet name="CA_124" sheetId="3" r:id="rId9"/>
    <sheet name="CS_301" sheetId="6" r:id="rId10"/>
    <sheet name="CS_301_RED" sheetId="7" r:id="rId11"/>
    <sheet name="depth_calibration" sheetId="8" r:id="rId12"/>
    <sheet name="hand_trajectory" sheetId="9" r:id="rId13"/>
    <sheet name="hand_trajectory_backup" sheetId="11" r:id="rId14"/>
    <sheet name="kinect_hand_eye" sheetId="13" r:id="rId15"/>
    <sheet name="hand_trajectory_summary_backup" sheetId="12" r:id="rId16"/>
    <sheet name="camera_calibration" sheetId="19" r:id="rId17"/>
    <sheet name="Sheet1" sheetId="20" r:id="rId1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3" i="13" l="1"/>
  <c r="L13" i="13"/>
  <c r="H13" i="13"/>
  <c r="G13" i="13"/>
  <c r="C13" i="13"/>
  <c r="B13" i="13"/>
  <c r="N13" i="13"/>
  <c r="O13" i="13"/>
  <c r="I13" i="13"/>
  <c r="J13" i="13"/>
  <c r="E3" i="19" l="1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2" i="19"/>
  <c r="O11" i="10" l="1"/>
  <c r="K7" i="10"/>
  <c r="U13" i="10"/>
  <c r="T13" i="10"/>
  <c r="S13" i="10"/>
  <c r="R13" i="10"/>
  <c r="Q13" i="10"/>
  <c r="P13" i="10"/>
  <c r="O13" i="10"/>
  <c r="N13" i="10"/>
  <c r="M13" i="10"/>
  <c r="L13" i="10"/>
  <c r="K13" i="10"/>
  <c r="N19" i="10"/>
  <c r="M19" i="10"/>
  <c r="L19" i="10"/>
  <c r="K19" i="10"/>
  <c r="U19" i="10"/>
  <c r="T19" i="10"/>
  <c r="S19" i="10"/>
  <c r="R19" i="10"/>
  <c r="Q19" i="10"/>
  <c r="P19" i="10"/>
  <c r="O19" i="10"/>
  <c r="K7" i="18" l="1"/>
  <c r="E17" i="18" l="1"/>
  <c r="P17" i="18"/>
  <c r="O17" i="18"/>
  <c r="N17" i="18"/>
  <c r="M17" i="18"/>
  <c r="L17" i="18"/>
  <c r="K17" i="18"/>
  <c r="J17" i="18"/>
  <c r="I17" i="18"/>
  <c r="H17" i="18"/>
  <c r="G17" i="18"/>
  <c r="F17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P7" i="18"/>
  <c r="O7" i="18"/>
  <c r="N7" i="18"/>
  <c r="M7" i="18"/>
  <c r="L7" i="18"/>
  <c r="J7" i="18"/>
  <c r="I7" i="18"/>
  <c r="H7" i="18"/>
  <c r="G7" i="18"/>
  <c r="F7" i="18"/>
  <c r="E7" i="18"/>
  <c r="E13" i="13" l="1"/>
  <c r="D13" i="13"/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V19" i="10"/>
  <c r="V13" i="10" l="1"/>
  <c r="V7" i="10"/>
  <c r="R7" i="10"/>
  <c r="Q7" i="10"/>
  <c r="N7" i="10"/>
  <c r="M7" i="10"/>
  <c r="O7" i="10"/>
  <c r="P7" i="10"/>
  <c r="S7" i="10"/>
  <c r="T7" i="10"/>
  <c r="U7" i="10"/>
  <c r="L7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4" i="8"/>
  <c r="A5" i="8" s="1"/>
  <c r="A6" i="8" s="1"/>
  <c r="A7" i="8" s="1"/>
  <c r="A8" i="8" s="1"/>
  <c r="A9" i="8" s="1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<sst xmlns="http://schemas.openxmlformats.org/spreadsheetml/2006/main" count="714" uniqueCount="187">
  <si>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</si>
  <si>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</si>
  <si>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</si>
  <si>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</si>
  <si>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</si>
  <si>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</si>
  <si>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</si>
  <si>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</si>
  <si>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</si>
  <si>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</si>
  <si>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</si>
  <si>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</si>
  <si>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</si>
  <si>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</si>
  <si>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</si>
  <si>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</si>
  <si>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</si>
  <si>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</si>
  <si>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</si>
  <si>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</si>
  <si>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</si>
  <si>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</si>
  <si>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</si>
  <si>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</si>
  <si>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</si>
  <si>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</si>
  <si>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</si>
  <si>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</si>
  <si>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</si>
  <si>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</si>
  <si>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</si>
  <si>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</si>
  <si>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</si>
  <si>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</si>
  <si>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</si>
  <si>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</si>
  <si>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</si>
  <si>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</si>
  <si>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</si>
  <si>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</si>
  <si>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</si>
  <si>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</si>
  <si>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</si>
  <si>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</si>
  <si>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</si>
  <si>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</si>
  <si>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</si>
  <si>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</si>
  <si>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</si>
  <si>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</si>
  <si>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</si>
  <si>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</si>
  <si>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</si>
  <si>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</si>
  <si>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</si>
  <si>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</si>
  <si>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</si>
  <si>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</si>
  <si>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</si>
  <si>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</si>
  <si>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</si>
  <si>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</si>
  <si>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</si>
  <si>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</si>
  <si>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</si>
  <si>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</si>
  <si>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</si>
  <si>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</si>
  <si>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</si>
  <si>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</si>
  <si>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</si>
  <si>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</si>
  <si>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</si>
  <si>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</si>
  <si>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</si>
  <si>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</si>
  <si>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</si>
  <si>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</si>
  <si>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</si>
  <si>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</si>
  <si>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</si>
  <si>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</si>
  <si>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</si>
  <si>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</si>
  <si>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</si>
  <si>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</si>
  <si>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</si>
  <si>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</si>
  <si>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</si>
  <si>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</si>
  <si>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</si>
  <si>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</si>
  <si>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</si>
  <si>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</si>
  <si>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</si>
  <si>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</si>
  <si>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</si>
  <si>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</si>
  <si>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</si>
  <si>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</si>
  <si>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</si>
  <si>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</si>
  <si>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</si>
  <si>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</si>
  <si>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</si>
  <si>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</si>
  <si>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</si>
  <si>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</si>
  <si>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</si>
  <si>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</si>
  <si>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</si>
  <si>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</si>
  <si>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</si>
  <si>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</si>
  <si>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</si>
  <si>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</si>
  <si>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</si>
  <si>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</si>
  <si>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</si>
  <si>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</si>
  <si>
    <t xml:space="preserve"> </t>
  </si>
  <si>
    <r>
      <t xml:space="preserve">-36.3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</si>
  <si>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t>-24 ± 111.2 (mm)</t>
  </si>
  <si>
    <t>12.5 ± 95.7 (mm)</t>
  </si>
  <si>
    <r>
      <t xml:space="preserve">18.9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±11.6 °</t>
    </r>
  </si>
  <si>
    <t>1.5 ° ± 0.8 °</t>
  </si>
  <si>
    <t>10.1 ± 7.3 (mm)</t>
  </si>
  <si>
    <t>22.7 ± 15.3 (mm)</t>
  </si>
  <si>
    <t>16.3 ± 0.2 (mm)</t>
  </si>
  <si>
    <t>Transalation</t>
  </si>
  <si>
    <t>Rotation</t>
  </si>
  <si>
    <t>Number of clusters</t>
  </si>
  <si>
    <t>inertia</t>
  </si>
  <si>
    <t>CS_301_7 (23 elctrodes)</t>
  </si>
  <si>
    <t>DBSCAN config</t>
  </si>
  <si>
    <t>DBSCAN config for all 0.010 &amp;  20</t>
  </si>
  <si>
    <t>no of electrodes</t>
  </si>
  <si>
    <t>Traj</t>
  </si>
  <si>
    <t>electrodes</t>
  </si>
  <si>
    <t>loop closure</t>
  </si>
  <si>
    <t>0.1 &amp; 0.80</t>
  </si>
  <si>
    <r>
      <t xml:space="preserve">0.5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</si>
  <si>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r>
      <t xml:space="preserve">0.5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2.1</t>
    </r>
    <r>
      <rPr>
        <sz val="11"/>
        <color theme="1"/>
        <rFont val="Calibri"/>
        <family val="2"/>
        <scheme val="minor"/>
      </rPr>
      <t xml:space="preserve"> (mm)</t>
    </r>
  </si>
  <si>
    <t>0.8 ± 2.9 (mm)</t>
  </si>
  <si>
    <r>
      <t xml:space="preserve">0.7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</si>
  <si>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0.9 ± 3.3 (mm)</t>
  </si>
  <si>
    <r>
      <t xml:space="preserve">0.9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</si>
  <si>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-1.4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9</t>
    </r>
    <r>
      <rPr>
        <sz val="11"/>
        <color theme="1"/>
        <rFont val="Calibri"/>
        <family val="2"/>
      </rPr>
      <t>.3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</si>
  <si>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4.1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1.7 °</t>
    </r>
  </si>
  <si>
    <t>16.3 ± 10.1 (mm)</t>
  </si>
  <si>
    <r>
      <t xml:space="preserve">4.6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1.7 °</t>
    </r>
  </si>
  <si>
    <t>12.1 ± 14.5 (mm)</t>
  </si>
  <si>
    <r>
      <t xml:space="preserve">6.7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</si>
  <si>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11.5 ± 5 (mm)</t>
  </si>
  <si>
    <t>3.7 ± 0.3 (mm)</t>
  </si>
  <si>
    <t>11.7 ± 4.0 (mm)</t>
  </si>
  <si>
    <t>6.8 ± 2.0 (mm)</t>
  </si>
  <si>
    <t>12.6 ± 5.5 (mm)</t>
  </si>
  <si>
    <t>5.6 ± 1.2 (mm)</t>
  </si>
  <si>
    <t>Hand Trajectory</t>
  </si>
  <si>
    <t>CA_124_7 (23 elctrodes)</t>
  </si>
  <si>
    <t>CA_124_8 (23 elctrodes)</t>
  </si>
  <si>
    <t>CS_301_8 (23 elctrodes)</t>
  </si>
  <si>
    <t>CS_301_RED_13 (23 elctrodes)</t>
  </si>
  <si>
    <t>CS_301_RED_14 (23 elctrodes)</t>
  </si>
  <si>
    <t>loop</t>
  </si>
  <si>
    <t>corres &amp; icp fitness</t>
  </si>
  <si>
    <t>no</t>
  </si>
  <si>
    <t>Yes</t>
  </si>
  <si>
    <t>DBSCAN = 0.01 &amp; 5</t>
  </si>
  <si>
    <t>Depth</t>
  </si>
  <si>
    <t>Matlab</t>
  </si>
  <si>
    <t>opencv</t>
  </si>
  <si>
    <t>Parameter</t>
  </si>
  <si>
    <t>Difference</t>
  </si>
  <si>
    <t>Fx</t>
  </si>
  <si>
    <t>Fy</t>
  </si>
  <si>
    <t>Alpha_x</t>
  </si>
  <si>
    <t>Alpha_y</t>
  </si>
  <si>
    <t>OpenCV</t>
  </si>
  <si>
    <t>matlab</t>
  </si>
  <si>
    <t>Parameters in dataset</t>
  </si>
  <si>
    <t>old</t>
  </si>
  <si>
    <t>new</t>
  </si>
  <si>
    <t>Hand-held</t>
  </si>
  <si>
    <t>Attracsys-robot</t>
  </si>
  <si>
    <t>Kinect-robot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</si>
</sst>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00"/>
    <numFmt numFmtId="167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49" fontId="0" fillId="0" borderId="1" xfId="0" applyNumberFormat="1" applyBorder="1"/>
    <xf numFmtId="49" fontId="0" fillId="0" borderId="6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Fill="1" applyBorder="1"/>
    <xf numFmtId="0" fontId="0" fillId="0" borderId="13" xfId="0" applyBorder="1" applyAlignment="1"/>
    <xf numFmtId="0" fontId="0" fillId="0" borderId="0" xfId="0" applyAlignment="1"/>
    <xf numFmtId="0" fontId="0" fillId="0" borderId="14" xfId="0" applyBorder="1" applyAlignment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 applyAlignme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wrapText="1"/>
    </xf>
    <xf numFmtId="0" fontId="0" fillId="0" borderId="17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Cluster Inertia Vs Depth offset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cluster_without_gt!$B$2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cluster_without_gt!$D$2:$D$11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cluster_without_gt!$E$2:$E$11</c:f>
              <c:numCache>
                <c:formatCode>0.000</c:formatCode>
                <c:ptCount val="10"/>
                <c:pt idx="0">
                  <c:v>0.31</c:v>
                </c:pt>
                <c:pt idx="1">
                  <c:v>0.27</c:v>
                </c:pt>
                <c:pt idx="2">
                  <c:v>0.25600866850126702</c:v>
                </c:pt>
                <c:pt idx="3">
                  <c:v>0.21679421897000001</c:v>
                </c:pt>
                <c:pt idx="4">
                  <c:v>0.208496756040388</c:v>
                </c:pt>
                <c:pt idx="5">
                  <c:v>0.21608672883643901</c:v>
                </c:pt>
                <c:pt idx="6">
                  <c:v>0.22952269906821801</c:v>
                </c:pt>
                <c:pt idx="7">
                  <c:v>0.24496620973229</c:v>
                </c:pt>
                <c:pt idx="8">
                  <c:v>0.26640089055105798</c:v>
                </c:pt>
                <c:pt idx="9">
                  <c:v>0.29397916260768298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D6-4FEE-A6A0-31B7782E82C1}"/>
            </c:ext>
          </c:extLst>
        </c:ser>
        <c:ser>
          <c:idx val="1"/>
          <c:order val="1"/>
          <c:tx>
            <c:strRef>
              <c:f>cluster_without_gt!$B$12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cluster_without_gt!$D$12:$D$21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cluster_without_gt!$E$12:$E$21</c:f>
              <c:numCache>
                <c:formatCode>0.000</c:formatCode>
                <c:ptCount val="10"/>
                <c:pt idx="0">
                  <c:v>0.30599999999999999</c:v>
                </c:pt>
                <c:pt idx="1">
                  <c:v>0.26443484277031598</c:v>
                </c:pt>
                <c:pt idx="2">
                  <c:v>0.255297728955165</c:v>
                </c:pt>
                <c:pt idx="3">
                  <c:v>0.22588831543812099</c:v>
                </c:pt>
                <c:pt idx="4">
                  <c:v>0.22436411976523701</c:v>
                </c:pt>
                <c:pt idx="5">
                  <c:v>0.23367483266123901</c:v>
                </c:pt>
                <c:pt idx="6">
                  <c:v>0.24741037439084401</c:v>
                </c:pt>
                <c:pt idx="7">
                  <c:v>0.26697634598290698</c:v>
                </c:pt>
                <c:pt idx="8">
                  <c:v>0.29292462407832598</c:v>
                </c:pt>
                <c:pt idx="9">
                  <c:v>0.30099999999999999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D6-4FEE-A6A0-31B7782E82C1}"/>
            </c:ext>
          </c:extLst>
        </c:ser>
        <c:ser>
          <c:idx val="2"/>
          <c:order val="2"/>
          <c:tx>
            <c:strRef>
              <c:f>cluster_without_gt!$B$22</c:f>
              <c:strCache>
                <c:ptCount val="1"/>
                <c:pt idx="0">
                  <c:v>CS_301_7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cluster_without_gt!$D$22:$D$31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cluster_without_gt!$E$22:$E$31</c:f>
              <c:numCache>
                <c:formatCode>0.000</c:formatCode>
                <c:ptCount val="10"/>
                <c:pt idx="0">
                  <c:v>0.108555885773802</c:v>
                </c:pt>
                <c:pt idx="1">
                  <c:v>9.8634608214846903E-2</c:v>
                </c:pt>
                <c:pt idx="2">
                  <c:v>9.12907582546989E-2</c:v>
                </c:pt>
                <c:pt idx="3">
                  <c:v>8.6524723288258096E-2</c:v>
                </c:pt>
                <c:pt idx="4">
                  <c:v>8.4428117524543905E-2</c:v>
                </c:pt>
                <c:pt idx="5">
                  <c:v>8.3388534139445997E-2</c:v>
                </c:pt>
                <c:pt idx="6">
                  <c:v>8.7042729925813994E-2</c:v>
                </c:pt>
                <c:pt idx="7">
                  <c:v>9.21198921154191E-2</c:v>
                </c:pt>
                <c:pt idx="8">
                  <c:v>9.9769548548391401E-2</c:v>
                </c:pt>
                <c:pt idx="9">
                  <c:v>0.10990094706051599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D6-4FEE-A6A0-31B7782E82C1}"/>
            </c:ext>
          </c:extLst>
        </c:ser>
        <c:ser>
          <c:idx val="3"/>
          <c:order val="3"/>
          <c:tx>
            <c:strRef>
              <c:f>cluster_without_gt!$B$32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cluster_without_gt!$D$32:$D$41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cluster_without_gt!$E$32:$E$41</c:f>
              <c:numCache>
                <c:formatCode>0.000</c:formatCode>
                <c:ptCount val="10"/>
                <c:pt idx="0">
                  <c:v>9.1784410791082793E-2</c:v>
                </c:pt>
                <c:pt idx="1">
                  <c:v>8.5070877336910197E-2</c:v>
                </c:pt>
                <c:pt idx="2">
                  <c:v>8.08433870168834E-2</c:v>
                </c:pt>
                <c:pt idx="3">
                  <c:v>7.9102157921646599E-2</c:v>
                </c:pt>
                <c:pt idx="4">
                  <c:v>7.9847097809047501E-2</c:v>
                </c:pt>
                <c:pt idx="5">
                  <c:v>8.3078190637318999E-2</c:v>
                </c:pt>
                <c:pt idx="6">
                  <c:v>8.8795419590675106E-2</c:v>
                </c:pt>
                <c:pt idx="7">
                  <c:v>9.6998937949272002E-2</c:v>
                </c:pt>
                <c:pt idx="8">
                  <c:v>0.107688511075029</c:v>
                </c:pt>
                <c:pt idx="9">
                  <c:v>0.120864439067163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D6-4FEE-A6A0-31B7782E82C1}"/>
            </c:ext>
          </c:extLst>
        </c:ser>
        <c:ser>
          <c:idx val="4"/>
          <c:order val="4"/>
          <c:tx>
            <c:strRef>
              <c:f>cluster_without_gt!$B$42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cluster_without_gt!$D$42:$D$51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cluster_without_gt!$E$42:$E$51</c:f>
              <c:numCache>
                <c:formatCode>0.000</c:formatCode>
                <c:ptCount val="10"/>
                <c:pt idx="0">
                  <c:v>8.3579506145603499E-2</c:v>
                </c:pt>
                <c:pt idx="1">
                  <c:v>7.9624874705246304E-2</c:v>
                </c:pt>
                <c:pt idx="2">
                  <c:v>7.7995056822209904E-2</c:v>
                </c:pt>
                <c:pt idx="3">
                  <c:v>7.8654544664583506E-2</c:v>
                </c:pt>
                <c:pt idx="4">
                  <c:v>8.1558958724039607E-2</c:v>
                </c:pt>
                <c:pt idx="5">
                  <c:v>8.67995511178523E-2</c:v>
                </c:pt>
                <c:pt idx="6">
                  <c:v>9.4353493542190303E-2</c:v>
                </c:pt>
                <c:pt idx="7">
                  <c:v>0.10405157963412499</c:v>
                </c:pt>
                <c:pt idx="8">
                  <c:v>0.115763262480788</c:v>
                </c:pt>
                <c:pt idx="9">
                  <c:v>0.12967546313176301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D6-4FEE-A6A0-31B7782E82C1}"/>
            </c:ext>
          </c:extLst>
        </c:ser>
        <c:ser>
          <c:idx val="5"/>
          <c:order val="5"/>
          <c:tx>
            <c:strRef>
              <c:f>cluster_without_gt!$B$52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cluster_without_gt!$D$52:$D$61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cluster_without_gt!$E$52:$E$61</c:f>
              <c:numCache>
                <c:formatCode>0.000</c:formatCode>
                <c:ptCount val="10"/>
                <c:pt idx="0">
                  <c:v>9.6843909839325601E-2</c:v>
                </c:pt>
                <c:pt idx="1">
                  <c:v>9.0395418700083593E-2</c:v>
                </c:pt>
                <c:pt idx="2">
                  <c:v>8.6295764530462796E-2</c:v>
                </c:pt>
                <c:pt idx="3">
                  <c:v>8.4411674878107398E-2</c:v>
                </c:pt>
                <c:pt idx="4">
                  <c:v>8.4941329892356601E-2</c:v>
                </c:pt>
                <c:pt idx="5">
                  <c:v>0.09</c:v>
                </c:pt>
                <c:pt idx="6">
                  <c:v>0.105712112961419</c:v>
                </c:pt>
                <c:pt idx="7">
                  <c:v>0.116999562115206</c:v>
                </c:pt>
                <c:pt idx="8">
                  <c:v>0.126</c:v>
                </c:pt>
                <c:pt idx="9">
                  <c:v>0.13400000000000001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D6-4FEE-A6A0-31B7782E8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872800"/>
        <c:axId val="1988603104"/>
      </c:scatterChart>
      <c:valAx>
        <c:axId val="298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Depth offset  </a:t>
                </a:r>
                <a:r>
                  <a:rPr lang="el-GR" sz="1600" b="0" i="0" baseline="0">
                    <a:effectLst/>
                  </a:rPr>
                  <a:t>β</a:t>
                </a:r>
                <a:r>
                  <a:rPr lang="en-US" sz="1600" b="0" i="0" baseline="0">
                    <a:effectLst/>
                  </a:rPr>
                  <a:t> (mm)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603104"/>
        <c:crosses val="autoZero"/>
        <c:crossBetween val="midCat"/>
      </c:valAx>
      <c:valAx>
        <c:axId val="198860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Inertia</a:t>
                </a:r>
                <a:r>
                  <a:rPr lang="en-US" sz="1600" baseline="0"/>
                  <a:t> m^2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72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cluster_without_gt!$B$63</c:f>
              <c:strCache>
                <c:ptCount val="1"/>
                <c:pt idx="0">
                  <c:v>CA_124_7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cluster_without_gt!$D$63:$D$72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cluster_without_gt!$E$63:$E$72</c:f>
              <c:numCache>
                <c:formatCode>0.000</c:formatCode>
                <c:ptCount val="10"/>
                <c:pt idx="0">
                  <c:v>0.56924840913026198</c:v>
                </c:pt>
                <c:pt idx="1">
                  <c:v>0.56634612637312198</c:v>
                </c:pt>
                <c:pt idx="2">
                  <c:v>0.57651939570741895</c:v>
                </c:pt>
                <c:pt idx="3">
                  <c:v>0.60275664191749001</c:v>
                </c:pt>
                <c:pt idx="4">
                  <c:v>0.58834376337415195</c:v>
                </c:pt>
                <c:pt idx="5">
                  <c:v>0.60500417325362899</c:v>
                </c:pt>
                <c:pt idx="6">
                  <c:v>0.60673558067520095</c:v>
                </c:pt>
                <c:pt idx="7">
                  <c:v>0.61270719383398897</c:v>
                </c:pt>
                <c:pt idx="8">
                  <c:v>0.62475315070563797</c:v>
                </c:pt>
                <c:pt idx="9">
                  <c:v>0.63256245871877903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1A-420A-8C18-4184D7E7EF9D}"/>
            </c:ext>
          </c:extLst>
        </c:ser>
        <c:ser>
          <c:idx val="1"/>
          <c:order val="1"/>
          <c:tx>
            <c:strRef>
              <c:f>cluster_without_gt!$B$73</c:f>
              <c:strCache>
                <c:ptCount val="1"/>
                <c:pt idx="0">
                  <c:v>CA_124_8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cluster_without_gt!$D$73:$D$82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cluster_without_gt!$E$73:$E$82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51A-420A-8C18-4184D7E7EF9D}"/>
            </c:ext>
          </c:extLst>
        </c:ser>
        <c:ser>
          <c:idx val="2"/>
          <c:order val="2"/>
          <c:tx>
            <c:strRef>
              <c:f>cluster_without_gt!$B$83</c:f>
              <c:strCache>
                <c:ptCount val="1"/>
                <c:pt idx="0">
                  <c:v>CS_301_7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cluster_without_gt!$D$83:$D$92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cluster_without_gt!$E$83:$E$92</c:f>
              <c:numCache>
                <c:formatCode>0.000</c:formatCode>
                <c:ptCount val="10"/>
                <c:pt idx="0">
                  <c:v>0.60851742237839401</c:v>
                </c:pt>
                <c:pt idx="1">
                  <c:v>0.59646874089892798</c:v>
                </c:pt>
                <c:pt idx="2">
                  <c:v>0.59769653952101998</c:v>
                </c:pt>
                <c:pt idx="3">
                  <c:v>0.59961270328109595</c:v>
                </c:pt>
                <c:pt idx="4">
                  <c:v>0.61598138089942001</c:v>
                </c:pt>
                <c:pt idx="5">
                  <c:v>0.60400511385492195</c:v>
                </c:pt>
                <c:pt idx="6">
                  <c:v>0.62945438714257496</c:v>
                </c:pt>
                <c:pt idx="7">
                  <c:v>0.60982979098455203</c:v>
                </c:pt>
                <c:pt idx="8">
                  <c:v>0.61814884739920894</c:v>
                </c:pt>
                <c:pt idx="9">
                  <c:v>0.61708508473019297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51A-420A-8C18-4184D7E7EF9D}"/>
            </c:ext>
          </c:extLst>
        </c:ser>
        <c:ser>
          <c:idx val="3"/>
          <c:order val="3"/>
          <c:tx>
            <c:strRef>
              <c:f>cluster_without_gt!$B$93</c:f>
              <c:strCache>
                <c:ptCount val="1"/>
                <c:pt idx="0">
                  <c:v>CS_301_8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cluster_without_gt!$D$93:$D$102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cluster_without_gt!$E$93:$E$102</c:f>
              <c:numCache>
                <c:formatCode>0.000</c:formatCode>
                <c:ptCount val="10"/>
                <c:pt idx="0">
                  <c:v>0.12036195111081401</c:v>
                </c:pt>
                <c:pt idx="1">
                  <c:v>0.125282871841182</c:v>
                </c:pt>
                <c:pt idx="2">
                  <c:v>0.12921499945822401</c:v>
                </c:pt>
                <c:pt idx="3">
                  <c:v>0.13583522960519701</c:v>
                </c:pt>
                <c:pt idx="4">
                  <c:v>0.14261783662844599</c:v>
                </c:pt>
                <c:pt idx="5">
                  <c:v>0.14927777872664599</c:v>
                </c:pt>
                <c:pt idx="6">
                  <c:v>0.15634310878156599</c:v>
                </c:pt>
                <c:pt idx="7">
                  <c:v>0.16382342483835499</c:v>
                </c:pt>
                <c:pt idx="8">
                  <c:v>0.17173676749807901</c:v>
                </c:pt>
                <c:pt idx="9">
                  <c:v>0.18011603377834201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51A-420A-8C18-4184D7E7EF9D}"/>
            </c:ext>
          </c:extLst>
        </c:ser>
        <c:ser>
          <c:idx val="4"/>
          <c:order val="4"/>
          <c:tx>
            <c:strRef>
              <c:f>cluster_without_gt!$B$103</c:f>
              <c:strCache>
                <c:ptCount val="1"/>
                <c:pt idx="0">
                  <c:v>CS_301_RED_13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cluster_without_gt!$D$103:$D$112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cluster_without_gt!$E$103:$E$112</c:f>
              <c:numCache>
                <c:formatCode>0.000</c:formatCode>
                <c:ptCount val="10"/>
                <c:pt idx="0">
                  <c:v>1.06069100356565</c:v>
                </c:pt>
                <c:pt idx="1">
                  <c:v>1.0872656987134299</c:v>
                </c:pt>
                <c:pt idx="2">
                  <c:v>1.06337390996296</c:v>
                </c:pt>
                <c:pt idx="3">
                  <c:v>1.09955588401099</c:v>
                </c:pt>
                <c:pt idx="4">
                  <c:v>1.0813329785488499</c:v>
                </c:pt>
                <c:pt idx="5">
                  <c:v>1.0769023979145</c:v>
                </c:pt>
                <c:pt idx="6">
                  <c:v>1.1085717893212399</c:v>
                </c:pt>
                <c:pt idx="7">
                  <c:v>1.0806807621282499</c:v>
                </c:pt>
                <c:pt idx="8">
                  <c:v>1.1068168302058199</c:v>
                </c:pt>
                <c:pt idx="9">
                  <c:v>1.11460612704811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51A-420A-8C18-4184D7E7EF9D}"/>
            </c:ext>
          </c:extLst>
        </c:ser>
        <c:ser>
          <c:idx val="5"/>
          <c:order val="5"/>
          <c:tx>
            <c:strRef>
              <c:f>cluster_without_gt!$B$113</c:f>
              <c:strCache>
                <c:ptCount val="1"/>
                <c:pt idx="0">
                  <c:v>CS_301_RED_14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cluster_without_gt!$D$113:$D$122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cluster_without_gt!$E$113:$E$122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51A-420A-8C18-4184D7E7E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6144208"/>
        <c:axId val="1441754336"/>
      </c:scatterChart>
      <c:valAx>
        <c:axId val="1446144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Depth offset  </a:t>
                </a:r>
                <a:r>
                  <a:rPr lang="el-GR" sz="1800" b="0" i="0" baseline="0">
                    <a:effectLst/>
                  </a:rPr>
                  <a:t>β</a:t>
                </a:r>
                <a:r>
                  <a:rPr lang="en-US" sz="1800" b="0" i="0" baseline="0">
                    <a:effectLst/>
                  </a:rPr>
                  <a:t> (mm)</a:t>
                </a:r>
                <a:endParaRPr lang="en-US">
                  <a:effectLst/>
                </a:endParaRPr>
              </a:p>
            </c:rich>
          </c:tx>
          <c:layout>
            <c:manualLayout>
              <c:xMode val="edge"/>
              <c:yMode val="edge"/>
              <c:x val="0.27965119661766419"/>
              <c:y val="0.86004386006371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1754336"/>
        <c:crosses val="autoZero"/>
        <c:crossBetween val="midCat"/>
      </c:valAx>
      <c:valAx>
        <c:axId val="14417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 b="0" i="0" baseline="0">
                    <a:effectLst/>
                  </a:rPr>
                  <a:t>Inertia m^2</a:t>
                </a:r>
                <a:endParaRPr lang="en-US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144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 </a:t>
                </a:r>
                <a:r>
                  <a:rPr lang="el-GR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β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 </a:t>
                </a:r>
                <a:r>
                  <a:rPr lang="en-US" baseline="0"/>
                  <a:t>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Pixel</a:t>
            </a:r>
            <a:r>
              <a:rPr lang="en-US" baseline="0"/>
              <a:t> Value out-projection with chessboard</a:t>
            </a:r>
            <a:endParaRPr lang="en-US"/>
          </a:p>
        </c:rich>
      </c:tx>
      <c:layout>
        <c:manualLayout>
          <c:xMode val="edge"/>
          <c:yMode val="edge"/>
          <c:x val="0.17022812501134454"/>
          <c:y val="2.53485424588086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81066877129874E-2"/>
          <c:y val="0.13914114748328055"/>
          <c:w val="0.72525068981761898"/>
          <c:h val="0.7334976871291298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Matlab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9306603282981234E-2"/>
                  <c:y val="-3.8692431133542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D7A-4922-8469-F147D287B033}"/>
                </c:ext>
              </c:extLst>
            </c:dLbl>
            <c:dLbl>
              <c:idx val="1"/>
              <c:layout>
                <c:manualLayout>
                  <c:x val="-7.3766587742965697E-2"/>
                  <c:y val="-5.6291867951564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depth_calibration!$C$3:$C$9</c:f>
              <c:numCache>
                <c:formatCode>General</c:formatCode>
                <c:ptCount val="7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ser>
          <c:idx val="1"/>
          <c:order val="1"/>
          <c:tx>
            <c:strRef>
              <c:f>depth_calibration!$B$1</c:f>
              <c:strCache>
                <c:ptCount val="1"/>
                <c:pt idx="0">
                  <c:v>Parameters in dataset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5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7364101340479297E-2"/>
                  <c:y val="1.05859919569187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D7A-4922-8469-F147D287B033}"/>
                </c:ext>
              </c:extLst>
            </c:dLbl>
            <c:dLbl>
              <c:idx val="1"/>
              <c:layout>
                <c:manualLayout>
                  <c:x val="1.9909880146100618E-3"/>
                  <c:y val="4.9304752956566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depth_calibration!$B$3:$B$9</c:f>
              <c:numCache>
                <c:formatCode>General</c:formatCode>
                <c:ptCount val="7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7A-4922-8469-F147D287B033}"/>
            </c:ext>
          </c:extLst>
        </c:ser>
        <c:ser>
          <c:idx val="2"/>
          <c:order val="2"/>
          <c:tx>
            <c:strRef>
              <c:f>depth_calibration!$D$1</c:f>
              <c:strCache>
                <c:ptCount val="1"/>
                <c:pt idx="0">
                  <c:v>OpenCV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9306603282981234E-2"/>
                  <c:y val="-8.09310794967948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depth_calibration!$D$3:$D$9</c:f>
              <c:numCache>
                <c:formatCode>General</c:formatCode>
                <c:ptCount val="7"/>
                <c:pt idx="0">
                  <c:v>14.7</c:v>
                </c:pt>
                <c:pt idx="1">
                  <c:v>17.8</c:v>
                </c:pt>
                <c:pt idx="2">
                  <c:v>22.8</c:v>
                </c:pt>
                <c:pt idx="3">
                  <c:v>27.7</c:v>
                </c:pt>
                <c:pt idx="4">
                  <c:v>32.299999999999997</c:v>
                </c:pt>
                <c:pt idx="5">
                  <c:v>35.200000000000003</c:v>
                </c:pt>
                <c:pt idx="6">
                  <c:v>38.799999999999997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7A-4922-8469-F147D287B03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280735887035105"/>
          <c:y val="0.46111328217024605"/>
          <c:w val="0.17553146020681842"/>
          <c:h val="0.16560469195521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CS_301_RED_6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18.54</c:v>
                      </c:pt>
                      <c:pt idx="1">
                        <c:v>17.98</c:v>
                      </c:pt>
                      <c:pt idx="2">
                        <c:v>17.649999999999999</c:v>
                      </c:pt>
                      <c:pt idx="3">
                        <c:v>17.13</c:v>
                      </c:pt>
                      <c:pt idx="4">
                        <c:v>16.45</c:v>
                      </c:pt>
                      <c:pt idx="5">
                        <c:v>15.36</c:v>
                      </c:pt>
                      <c:pt idx="6">
                        <c:v>14.69</c:v>
                      </c:pt>
                      <c:pt idx="7">
                        <c:v>14.95</c:v>
                      </c:pt>
                      <c:pt idx="8">
                        <c:v>15.65</c:v>
                      </c:pt>
                      <c:pt idx="9">
                        <c:v>16.23</c:v>
                      </c:pt>
                      <c:pt idx="10">
                        <c:v>16.86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CS_301_RED_7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19.86</c:v>
                      </c:pt>
                      <c:pt idx="1">
                        <c:v>19.23</c:v>
                      </c:pt>
                      <c:pt idx="2">
                        <c:v>18.52</c:v>
                      </c:pt>
                      <c:pt idx="3">
                        <c:v>17.760000000000002</c:v>
                      </c:pt>
                      <c:pt idx="4">
                        <c:v>16.64</c:v>
                      </c:pt>
                      <c:pt idx="5">
                        <c:v>15.26</c:v>
                      </c:pt>
                      <c:pt idx="6">
                        <c:v>15.56</c:v>
                      </c:pt>
                      <c:pt idx="7">
                        <c:v>16.02</c:v>
                      </c:pt>
                      <c:pt idx="8">
                        <c:v>16.86</c:v>
                      </c:pt>
                      <c:pt idx="9">
                        <c:v>17.16</c:v>
                      </c:pt>
                      <c:pt idx="10">
                        <c:v>17.690000000000001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24.81</c:v>
                      </c:pt>
                      <c:pt idx="1">
                        <c:v>24.36</c:v>
                      </c:pt>
                      <c:pt idx="2">
                        <c:v>23.67</c:v>
                      </c:pt>
                      <c:pt idx="3">
                        <c:v>23.16</c:v>
                      </c:pt>
                      <c:pt idx="4">
                        <c:v>22.69</c:v>
                      </c:pt>
                      <c:pt idx="5">
                        <c:v>22.06</c:v>
                      </c:pt>
                      <c:pt idx="6">
                        <c:v>23.49</c:v>
                      </c:pt>
                      <c:pt idx="7">
                        <c:v>23.91</c:v>
                      </c:pt>
                      <c:pt idx="8">
                        <c:v>24.24</c:v>
                      </c:pt>
                      <c:pt idx="9">
                        <c:v>24.98</c:v>
                      </c:pt>
                      <c:pt idx="10">
                        <c:v>25.26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</xdr:colOff>
      <xdr:row>1</xdr:row>
      <xdr:rowOff>179070</xdr:rowOff>
    </xdr:from>
    <xdr:to>
      <xdr:col>18</xdr:col>
      <xdr:colOff>297180</xdr:colOff>
      <xdr:row>21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F91CA-DF3A-476A-B7AD-0A3055410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</xdr:colOff>
      <xdr:row>62</xdr:row>
      <xdr:rowOff>19050</xdr:rowOff>
    </xdr:from>
    <xdr:to>
      <xdr:col>18</xdr:col>
      <xdr:colOff>99060</xdr:colOff>
      <xdr:row>79</xdr:row>
      <xdr:rowOff>83820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4F75D0-8598-4413-9EC0-1875A12965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162261</xdr:colOff>
      <xdr:row>4</xdr:row>
      <xdr:rowOff>89648</xdr:rowOff>
    </xdr:from>
    <xdr:to>
      <xdr:col>24</xdr:col>
      <xdr:colOff>0</xdr:colOff>
      <xdr:row>26</xdr:row>
      <xdr:rowOff>143436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556260</xdr:colOff>
      <xdr:row>2</xdr:row>
      <xdr:rowOff>80010</xdr:rowOff>
    </xdr:from>
    <xdr:to>
      <xdr:col>17</xdr:col>
      <xdr:colOff>213360</xdr:colOff>
      <xdr:row>23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72" t="s">
        <v>50</v>
      </c>
      <c r="B4" s="16" t="s">
        <v>54</v>
      </c>
    </row>
    <row r="5" spans="1:2" x14ac:dyDescent="0.3">
      <c r="A5" s="73"/>
      <c r="B5" s="10" t="s">
        <v>58</v>
      </c>
    </row>
    <row r="6" spans="1:2" x14ac:dyDescent="0.3">
      <c r="A6" s="73"/>
      <c r="B6" s="10" t="s">
        <v>55</v>
      </c>
    </row>
    <row r="7" spans="1:2" ht="15" thickBot="1" x14ac:dyDescent="0.35">
      <c r="A7" s="74"/>
      <c r="B7" s="13" t="s">
        <v>66</v>
      </c>
    </row>
    <row r="8" spans="1:2" x14ac:dyDescent="0.3">
      <c r="A8" s="72" t="s">
        <v>51</v>
      </c>
      <c r="B8" s="16" t="s">
        <v>57</v>
      </c>
    </row>
    <row r="9" spans="1:2" x14ac:dyDescent="0.3">
      <c r="A9" s="73"/>
      <c r="B9" s="10" t="s">
        <v>56</v>
      </c>
    </row>
    <row r="10" spans="1:2" x14ac:dyDescent="0.3">
      <c r="A10" s="73"/>
      <c r="B10" s="10" t="s">
        <v>63</v>
      </c>
    </row>
    <row r="11" spans="1:2" x14ac:dyDescent="0.3">
      <c r="A11" s="73"/>
      <c r="B11" s="10" t="s">
        <v>59</v>
      </c>
    </row>
    <row r="12" spans="1:2" ht="15" thickBot="1" x14ac:dyDescent="0.35">
      <c r="A12" s="74"/>
      <c r="B12" s="35" t="s">
        <v>64</v>
      </c>
    </row>
    <row r="13" spans="1:2" x14ac:dyDescent="0.3">
      <c r="A13" s="73" t="s">
        <v>52</v>
      </c>
      <c r="B13" s="10" t="s">
        <v>60</v>
      </c>
    </row>
    <row r="14" spans="1:2" x14ac:dyDescent="0.3">
      <c r="A14" s="73"/>
      <c r="B14" s="10" t="s">
        <v>67</v>
      </c>
    </row>
    <row r="15" spans="1:2" x14ac:dyDescent="0.3">
      <c r="A15" s="73"/>
      <c r="B15" s="10" t="s">
        <v>61</v>
      </c>
    </row>
    <row r="16" spans="1:2" ht="15" thickBot="1" x14ac:dyDescent="0.35">
      <c r="A16" s="74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opLeftCell="C1"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78" t="s">
        <v>5</v>
      </c>
      <c r="C1" s="78"/>
      <c r="D1" s="78"/>
      <c r="E1" s="78"/>
      <c r="F1" s="78" t="s">
        <v>9</v>
      </c>
      <c r="G1" s="78"/>
      <c r="H1" s="78"/>
      <c r="I1" s="78"/>
      <c r="J1" s="78" t="s">
        <v>10</v>
      </c>
      <c r="K1" s="78"/>
      <c r="L1" s="78" t="s">
        <v>11</v>
      </c>
      <c r="M1" s="78"/>
      <c r="Q1" s="75" t="s">
        <v>18</v>
      </c>
      <c r="R1" s="76"/>
      <c r="S1" s="76"/>
      <c r="T1" s="77"/>
    </row>
    <row r="2" spans="1:20" x14ac:dyDescent="0.3">
      <c r="B2" s="78" t="s">
        <v>12</v>
      </c>
      <c r="C2" s="78"/>
      <c r="D2" s="78" t="s">
        <v>13</v>
      </c>
      <c r="E2" s="78"/>
      <c r="F2" s="78" t="s">
        <v>12</v>
      </c>
      <c r="G2" s="78"/>
      <c r="H2" s="78" t="s">
        <v>13</v>
      </c>
      <c r="I2" s="78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75" t="s">
        <v>20</v>
      </c>
      <c r="R6" s="76"/>
      <c r="S6" s="76"/>
      <c r="T6" s="77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716D-6442-4643-B893-FFDFB2F1EEDD}">
  <dimension ref="A1:V41"/>
  <sheetViews>
    <sheetView workbookViewId="0">
      <selection activeCell="H23" sqref="H23"/>
    </sheetView>
  </sheetViews>
  <sheetFormatPr defaultRowHeight="14.4" x14ac:dyDescent="0.3"/>
  <cols>
    <col min="1" max="1" width="26.33203125" bestFit="1" customWidth="1"/>
    <col min="2" max="2" width="5.6640625" bestFit="1" customWidth="1"/>
    <col min="3" max="3" width="18.109375" bestFit="1" customWidth="1"/>
    <col min="4" max="4" width="18.109375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7" max="17" width="13.33203125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82" t="s">
        <v>95</v>
      </c>
      <c r="B1" s="79" t="s">
        <v>26</v>
      </c>
      <c r="C1" s="82" t="s">
        <v>23</v>
      </c>
      <c r="D1" s="82" t="s">
        <v>138</v>
      </c>
      <c r="E1" s="79" t="s">
        <v>5</v>
      </c>
      <c r="F1" s="80"/>
      <c r="G1" s="80"/>
      <c r="H1" s="81"/>
      <c r="I1" s="79" t="s">
        <v>9</v>
      </c>
      <c r="J1" s="80"/>
      <c r="K1" s="80"/>
      <c r="L1" s="81"/>
      <c r="M1" s="79" t="s">
        <v>10</v>
      </c>
      <c r="N1" s="81"/>
      <c r="O1" s="79" t="s">
        <v>11</v>
      </c>
      <c r="P1" s="81"/>
      <c r="Q1" s="60" t="s">
        <v>139</v>
      </c>
      <c r="R1" s="61"/>
    </row>
    <row r="2" spans="1:22" x14ac:dyDescent="0.3">
      <c r="A2" s="83"/>
      <c r="B2" s="89"/>
      <c r="C2" s="83"/>
      <c r="D2" s="83"/>
      <c r="E2" s="89" t="s">
        <v>12</v>
      </c>
      <c r="F2" s="88"/>
      <c r="G2" s="88" t="s">
        <v>13</v>
      </c>
      <c r="H2" s="90"/>
      <c r="I2" s="89" t="s">
        <v>12</v>
      </c>
      <c r="J2" s="88"/>
      <c r="K2" s="88" t="s">
        <v>13</v>
      </c>
      <c r="L2" s="90"/>
      <c r="M2" s="57"/>
      <c r="N2" s="58"/>
      <c r="O2" s="57"/>
      <c r="P2" s="58"/>
      <c r="Q2" s="88" t="s">
        <v>140</v>
      </c>
      <c r="R2" s="61"/>
    </row>
    <row r="3" spans="1:22" x14ac:dyDescent="0.3">
      <c r="A3" s="83"/>
      <c r="B3" s="89"/>
      <c r="C3" s="83"/>
      <c r="D3" s="84"/>
      <c r="E3" s="57" t="s">
        <v>7</v>
      </c>
      <c r="F3" s="56" t="s">
        <v>8</v>
      </c>
      <c r="G3" s="56" t="s">
        <v>7</v>
      </c>
      <c r="H3" s="58" t="s">
        <v>8</v>
      </c>
      <c r="I3" s="57" t="s">
        <v>7</v>
      </c>
      <c r="J3" s="56" t="s">
        <v>8</v>
      </c>
      <c r="K3" s="56" t="s">
        <v>7</v>
      </c>
      <c r="L3" s="58" t="s">
        <v>8</v>
      </c>
      <c r="M3" s="57" t="s">
        <v>7</v>
      </c>
      <c r="N3" s="58" t="s">
        <v>8</v>
      </c>
      <c r="O3" s="57" t="s">
        <v>7</v>
      </c>
      <c r="P3" s="58"/>
      <c r="Q3" s="88"/>
      <c r="R3" s="61"/>
    </row>
    <row r="4" spans="1:22" ht="15" thickBot="1" x14ac:dyDescent="0.35">
      <c r="A4" s="2" t="s">
        <v>33</v>
      </c>
      <c r="B4" s="2">
        <v>25</v>
      </c>
      <c r="C4" s="2">
        <v>4.0000000000000001E-3</v>
      </c>
      <c r="D4" s="2">
        <v>53</v>
      </c>
      <c r="E4" s="59">
        <v>5.0000000000000001E-4</v>
      </c>
      <c r="F4" s="2">
        <v>2.0999999999999999E-3</v>
      </c>
      <c r="G4" s="59">
        <v>0.51090000000000002</v>
      </c>
      <c r="H4" s="59">
        <v>0.36730000000000002</v>
      </c>
      <c r="I4" s="2">
        <v>-8.0000000000000002E-3</v>
      </c>
      <c r="J4" s="2">
        <v>1.1900000000000001E-2</v>
      </c>
      <c r="K4" s="2">
        <v>4.3733000000000004</v>
      </c>
      <c r="L4" s="2">
        <v>1.6862999999999999</v>
      </c>
      <c r="M4" s="59">
        <v>1.1339999999999999E-2</v>
      </c>
      <c r="N4" s="59">
        <v>5.0000000000000001E-3</v>
      </c>
      <c r="O4" s="59">
        <v>3.8999999999999998E-3</v>
      </c>
      <c r="P4" s="2"/>
      <c r="Q4" s="88"/>
      <c r="R4" s="9"/>
    </row>
    <row r="5" spans="1:22" x14ac:dyDescent="0.3">
      <c r="A5" s="2" t="s">
        <v>32</v>
      </c>
      <c r="B5" s="2">
        <v>25</v>
      </c>
      <c r="C5" s="2">
        <v>4.0000000000000001E-3</v>
      </c>
      <c r="D5" s="2">
        <v>54</v>
      </c>
      <c r="E5" s="2">
        <v>4.0000000000000002E-4</v>
      </c>
      <c r="F5" s="2">
        <v>2.0999999999999999E-3</v>
      </c>
      <c r="G5" s="2">
        <v>0.49359999999999998</v>
      </c>
      <c r="H5" s="2">
        <v>0.29820000000000002</v>
      </c>
      <c r="I5" s="2">
        <v>5.3E-3</v>
      </c>
      <c r="J5" s="2">
        <v>6.7000000000000002E-3</v>
      </c>
      <c r="K5" s="2">
        <v>3.8428</v>
      </c>
      <c r="L5" s="2">
        <v>1.7545999999999999</v>
      </c>
      <c r="M5" s="2">
        <v>1.167E-2</v>
      </c>
      <c r="N5" s="2">
        <v>5.0000000000000001E-3</v>
      </c>
      <c r="O5" s="2">
        <v>3.3999999999999998E-3</v>
      </c>
      <c r="P5" s="2"/>
      <c r="Q5" s="88"/>
      <c r="R5" s="9"/>
      <c r="S5" s="85" t="s">
        <v>86</v>
      </c>
      <c r="T5" s="86"/>
      <c r="U5" s="86"/>
      <c r="V5" s="87"/>
    </row>
    <row r="6" spans="1:22" x14ac:dyDescent="0.3">
      <c r="Q6" s="88"/>
      <c r="R6" s="9"/>
      <c r="S6" s="3"/>
      <c r="T6" s="2" t="s">
        <v>16</v>
      </c>
      <c r="U6" s="4" t="s">
        <v>19</v>
      </c>
      <c r="V6" s="4" t="s">
        <v>19</v>
      </c>
    </row>
    <row r="7" spans="1:22" x14ac:dyDescent="0.3">
      <c r="E7" s="49">
        <f>AVERAGE(E4:E5)*1000</f>
        <v>0.45</v>
      </c>
      <c r="F7" s="49">
        <f>AVERAGE(F4:F5)*1000</f>
        <v>2.1</v>
      </c>
      <c r="G7" s="49">
        <f>AVERAGE(G4:G5)</f>
        <v>0.50224999999999997</v>
      </c>
      <c r="H7" s="49">
        <f>AVERAGE(H4:H5)</f>
        <v>0.33274999999999999</v>
      </c>
      <c r="I7" s="49">
        <f>AVERAGE(I4:I5)*1000</f>
        <v>-1.35</v>
      </c>
      <c r="J7" s="49">
        <f>AVERAGE(J4:J5)*1000</f>
        <v>9.3000000000000007</v>
      </c>
      <c r="K7" s="49">
        <f>AVERAGE(K4:K5)</f>
        <v>4.1080500000000004</v>
      </c>
      <c r="L7" s="49">
        <f>AVERAGE(L4:L5)</f>
        <v>1.72045</v>
      </c>
      <c r="M7" s="49">
        <f>AVERAGE(M4:M5)*1000</f>
        <v>11.504999999999999</v>
      </c>
      <c r="N7" s="49">
        <f>AVERAGE(N4:N5)*1000</f>
        <v>5</v>
      </c>
      <c r="O7" s="49">
        <f>AVERAGE(O4:O5)*1000</f>
        <v>3.6499999999999995</v>
      </c>
      <c r="P7" s="49">
        <f>_xlfn.STDEV.P(O4:O5)*1000</f>
        <v>0.25</v>
      </c>
      <c r="Q7" s="88"/>
      <c r="R7" s="9"/>
      <c r="S7" s="3" t="s">
        <v>14</v>
      </c>
      <c r="T7" s="51" t="s">
        <v>147</v>
      </c>
      <c r="U7" s="4" t="s">
        <v>149</v>
      </c>
      <c r="V7" s="4" t="s">
        <v>151</v>
      </c>
    </row>
    <row r="8" spans="1:22" ht="15" thickBot="1" x14ac:dyDescent="0.35">
      <c r="Q8" s="88"/>
      <c r="R8" s="9"/>
      <c r="S8" s="5" t="s">
        <v>15</v>
      </c>
      <c r="T8" s="6" t="s">
        <v>148</v>
      </c>
      <c r="U8" s="7" t="s">
        <v>150</v>
      </c>
      <c r="V8" s="7" t="s">
        <v>152</v>
      </c>
    </row>
    <row r="9" spans="1:22" ht="15" thickBot="1" x14ac:dyDescent="0.35">
      <c r="A9" s="2" t="s">
        <v>34</v>
      </c>
      <c r="B9" s="2">
        <v>25</v>
      </c>
      <c r="C9" s="2">
        <v>4.0000000000000001E-3</v>
      </c>
      <c r="D9" s="2">
        <v>21</v>
      </c>
      <c r="E9" s="2">
        <v>8.0000000000000004E-4</v>
      </c>
      <c r="F9" s="2">
        <v>2.8999999999999998E-3</v>
      </c>
      <c r="G9" s="2">
        <v>0.71919999999999995</v>
      </c>
      <c r="H9" s="2">
        <v>0.40600000000000003</v>
      </c>
      <c r="I9" s="59">
        <v>9.4000000000000004E-3</v>
      </c>
      <c r="J9" s="59">
        <v>8.9999999999999993E-3</v>
      </c>
      <c r="K9" s="59">
        <v>3.3292999999999999</v>
      </c>
      <c r="L9" s="59">
        <v>1.2914000000000001</v>
      </c>
      <c r="M9" s="2">
        <v>9.5200000000000007E-3</v>
      </c>
      <c r="N9" s="2">
        <v>3.0000000000000001E-3</v>
      </c>
      <c r="O9" s="2">
        <v>4.7999999999999996E-3</v>
      </c>
      <c r="P9" s="2"/>
      <c r="Q9" s="88"/>
      <c r="R9" s="9"/>
    </row>
    <row r="10" spans="1:22" x14ac:dyDescent="0.3">
      <c r="A10" s="2" t="s">
        <v>35</v>
      </c>
      <c r="B10" s="2">
        <v>25</v>
      </c>
      <c r="C10" s="2">
        <v>4.0000000000000001E-3</v>
      </c>
      <c r="D10" s="2">
        <v>19</v>
      </c>
      <c r="E10" s="2">
        <v>8.0000000000000004E-4</v>
      </c>
      <c r="F10" s="2">
        <v>2.8E-3</v>
      </c>
      <c r="G10" s="2">
        <v>0.70860000000000001</v>
      </c>
      <c r="H10" s="2">
        <v>0.4007</v>
      </c>
      <c r="I10" s="59">
        <v>2.3099999999999999E-2</v>
      </c>
      <c r="J10" s="59">
        <v>1.11E-2</v>
      </c>
      <c r="K10" s="59">
        <v>5.8745000000000003</v>
      </c>
      <c r="L10" s="59">
        <v>2.1909000000000001</v>
      </c>
      <c r="M10" s="2">
        <v>1.3849999999999999E-2</v>
      </c>
      <c r="N10" s="2">
        <v>5.0000000000000001E-3</v>
      </c>
      <c r="O10" s="2">
        <v>8.8000000000000005E-3</v>
      </c>
      <c r="P10" s="2"/>
      <c r="Q10" s="88"/>
      <c r="R10" s="9"/>
      <c r="S10" s="85" t="s">
        <v>18</v>
      </c>
      <c r="T10" s="86"/>
      <c r="U10" s="86"/>
      <c r="V10" s="87"/>
    </row>
    <row r="11" spans="1:22" x14ac:dyDescent="0.3">
      <c r="Q11" s="88"/>
      <c r="R11" s="9"/>
      <c r="S11" s="3"/>
      <c r="T11" s="2" t="s">
        <v>16</v>
      </c>
      <c r="U11" s="4" t="s">
        <v>19</v>
      </c>
      <c r="V11" s="4" t="s">
        <v>17</v>
      </c>
    </row>
    <row r="12" spans="1:22" x14ac:dyDescent="0.3">
      <c r="E12" s="49">
        <f>AVERAGE(E9:E10)*1000</f>
        <v>0.8</v>
      </c>
      <c r="F12" s="49">
        <f>AVERAGE(F9:F10)*1000</f>
        <v>2.85</v>
      </c>
      <c r="G12" s="49">
        <f>AVERAGE(G9:G10)</f>
        <v>0.71389999999999998</v>
      </c>
      <c r="H12" s="49">
        <f>AVERAGE(H9:H10)</f>
        <v>0.40334999999999999</v>
      </c>
      <c r="I12" s="49">
        <f>AVERAGE(I9:I10)*1000</f>
        <v>16.25</v>
      </c>
      <c r="J12" s="49">
        <f>AVERAGE(J9:J10)*1000</f>
        <v>10.050000000000001</v>
      </c>
      <c r="K12" s="49">
        <f>AVERAGE(K9:K10)</f>
        <v>4.6019000000000005</v>
      </c>
      <c r="L12" s="49">
        <f>AVERAGE(L9:L10)</f>
        <v>1.7411500000000002</v>
      </c>
      <c r="M12" s="49">
        <f>AVERAGE(M9:M10)*1000</f>
        <v>11.685</v>
      </c>
      <c r="N12" s="49">
        <f>AVERAGE(N9:N10)*1000</f>
        <v>4</v>
      </c>
      <c r="O12" s="49">
        <f>AVERAGE(O9:O10)*1000</f>
        <v>6.8000000000000007</v>
      </c>
      <c r="P12" s="49">
        <f>_xlfn.STDEV.P(O9:O10)*1000</f>
        <v>2.0000000000000004</v>
      </c>
      <c r="Q12" s="88"/>
      <c r="R12" s="9"/>
      <c r="S12" s="3" t="s">
        <v>14</v>
      </c>
      <c r="T12" s="2" t="s">
        <v>142</v>
      </c>
      <c r="U12" s="4" t="s">
        <v>143</v>
      </c>
      <c r="V12" s="4" t="s">
        <v>145</v>
      </c>
    </row>
    <row r="13" spans="1:22" ht="15" thickBot="1" x14ac:dyDescent="0.35">
      <c r="Q13" s="88"/>
      <c r="R13" s="9"/>
      <c r="S13" s="5" t="s">
        <v>15</v>
      </c>
      <c r="T13" s="6" t="s">
        <v>141</v>
      </c>
      <c r="U13" s="7" t="s">
        <v>144</v>
      </c>
      <c r="V13" s="7" t="s">
        <v>146</v>
      </c>
    </row>
    <row r="14" spans="1:22" ht="15" thickBot="1" x14ac:dyDescent="0.35">
      <c r="A14" s="2" t="s">
        <v>76</v>
      </c>
      <c r="B14" s="2">
        <v>25</v>
      </c>
      <c r="C14" s="2">
        <v>6.0000000000000001E-3</v>
      </c>
      <c r="D14" s="2">
        <v>20</v>
      </c>
      <c r="E14" s="2">
        <v>8.0000000000000004E-4</v>
      </c>
      <c r="F14" s="2">
        <v>3.3E-3</v>
      </c>
      <c r="G14" s="2">
        <v>0.89659999999999995</v>
      </c>
      <c r="H14" s="2">
        <v>0.74470000000000003</v>
      </c>
      <c r="I14" s="2">
        <v>6.1000000000000004E-3</v>
      </c>
      <c r="J14" s="2">
        <v>1.2999999999999999E-2</v>
      </c>
      <c r="K14" s="2">
        <v>6.4135999999999997</v>
      </c>
      <c r="L14" s="2">
        <v>3.0508999999999999</v>
      </c>
      <c r="M14" s="2">
        <v>1.5720000000000001E-2</v>
      </c>
      <c r="N14" s="2">
        <v>6.0000000000000001E-3</v>
      </c>
      <c r="O14" s="2">
        <v>6.7999999999999996E-3</v>
      </c>
      <c r="P14" s="2"/>
      <c r="Q14" s="88"/>
      <c r="R14" s="9"/>
    </row>
    <row r="15" spans="1:22" x14ac:dyDescent="0.3">
      <c r="A15" s="2" t="s">
        <v>76</v>
      </c>
      <c r="B15" s="2">
        <v>25</v>
      </c>
      <c r="C15" s="2">
        <v>6.0000000000000001E-3</v>
      </c>
      <c r="D15" s="2">
        <v>17</v>
      </c>
      <c r="E15" s="2">
        <v>8.9999999999999998E-4</v>
      </c>
      <c r="F15" s="2">
        <v>3.3E-3</v>
      </c>
      <c r="G15" s="2">
        <v>0.81589999999999996</v>
      </c>
      <c r="H15" s="2">
        <v>0.4582</v>
      </c>
      <c r="I15" s="2">
        <v>1.8100000000000002E-2</v>
      </c>
      <c r="J15" s="2">
        <v>1.6E-2</v>
      </c>
      <c r="K15" s="2">
        <v>6.8879000000000001</v>
      </c>
      <c r="L15" s="2">
        <v>3.7374000000000001</v>
      </c>
      <c r="M15" s="2">
        <v>9.4699999999999993E-3</v>
      </c>
      <c r="N15" s="2">
        <v>5.0000000000000001E-3</v>
      </c>
      <c r="O15" s="2">
        <v>4.4000000000000003E-3</v>
      </c>
      <c r="P15" s="2"/>
      <c r="Q15" s="88"/>
      <c r="R15" s="9"/>
      <c r="S15" s="85" t="s">
        <v>20</v>
      </c>
      <c r="T15" s="86"/>
      <c r="U15" s="86"/>
      <c r="V15" s="87"/>
    </row>
    <row r="16" spans="1:22" x14ac:dyDescent="0.3">
      <c r="Q16" s="88"/>
      <c r="R16" s="9"/>
      <c r="S16" s="3"/>
      <c r="T16" s="2" t="s">
        <v>16</v>
      </c>
      <c r="U16" s="4" t="s">
        <v>19</v>
      </c>
      <c r="V16" s="4" t="s">
        <v>17</v>
      </c>
    </row>
    <row r="17" spans="1:22" x14ac:dyDescent="0.3">
      <c r="E17" s="49">
        <f>AVERAGE(E14:E15)*1000</f>
        <v>0.85000000000000009</v>
      </c>
      <c r="F17" s="49">
        <f>AVERAGE(F14:F15)*1000</f>
        <v>3.3</v>
      </c>
      <c r="G17" s="49">
        <f>AVERAGE(G14:G15)</f>
        <v>0.85624999999999996</v>
      </c>
      <c r="H17" s="49">
        <f>AVERAGE(H14:H15)</f>
        <v>0.60145000000000004</v>
      </c>
      <c r="I17" s="49">
        <f>AVERAGE(I14:I15)*1000</f>
        <v>12.100000000000001</v>
      </c>
      <c r="J17" s="49">
        <f>AVERAGE(J14:J15)*1000</f>
        <v>14.499999999999998</v>
      </c>
      <c r="K17" s="49">
        <f>AVERAGE(K14:K15)</f>
        <v>6.6507500000000004</v>
      </c>
      <c r="L17" s="49">
        <f>AVERAGE(L14:L15)</f>
        <v>3.3941499999999998</v>
      </c>
      <c r="M17" s="49">
        <f>AVERAGE(M14:M15)*1000</f>
        <v>12.595000000000001</v>
      </c>
      <c r="N17" s="49">
        <f>AVERAGE(N14:N15)*1000</f>
        <v>5.5</v>
      </c>
      <c r="O17" s="49">
        <f>AVERAGE(O14:O15)*1000</f>
        <v>5.6</v>
      </c>
      <c r="P17" s="49">
        <f>_xlfn.STDEV.P(O14:O15)*1000</f>
        <v>1.1999999999999997</v>
      </c>
      <c r="Q17" s="88"/>
      <c r="R17" s="9"/>
      <c r="S17" s="3" t="s">
        <v>21</v>
      </c>
      <c r="T17" s="2" t="s">
        <v>153</v>
      </c>
      <c r="U17" s="4" t="s">
        <v>155</v>
      </c>
      <c r="V17" s="4" t="s">
        <v>157</v>
      </c>
    </row>
    <row r="18" spans="1:22" ht="15" thickBot="1" x14ac:dyDescent="0.35">
      <c r="R18" s="9"/>
      <c r="S18" s="5" t="s">
        <v>22</v>
      </c>
      <c r="T18" s="6" t="s">
        <v>154</v>
      </c>
      <c r="U18" s="7" t="s">
        <v>156</v>
      </c>
      <c r="V18" s="7" t="s">
        <v>158</v>
      </c>
    </row>
    <row r="19" spans="1:22" x14ac:dyDescent="0.3">
      <c r="R19" s="9"/>
      <c r="S19" s="9"/>
    </row>
    <row r="20" spans="1:22" x14ac:dyDescent="0.3">
      <c r="R20" s="9"/>
      <c r="S20" s="9"/>
    </row>
    <row r="21" spans="1:22" x14ac:dyDescent="0.3">
      <c r="R21" s="9"/>
      <c r="S21" s="9"/>
    </row>
    <row r="22" spans="1:22" x14ac:dyDescent="0.3">
      <c r="A22" s="78"/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Q25" s="9"/>
      <c r="R25" s="9"/>
      <c r="S25" s="9"/>
      <c r="T25" s="9"/>
      <c r="U25" s="9"/>
    </row>
    <row r="26" spans="1:22" x14ac:dyDescent="0.3">
      <c r="Q26" s="9"/>
      <c r="R26" s="9"/>
      <c r="S26" s="9"/>
      <c r="T26" s="9"/>
      <c r="U26" s="9"/>
    </row>
    <row r="27" spans="1:22" x14ac:dyDescent="0.3">
      <c r="Q27" s="9"/>
      <c r="R27" s="9"/>
      <c r="S27" s="9"/>
      <c r="T27" s="9"/>
      <c r="U27" s="9"/>
    </row>
    <row r="28" spans="1:22" x14ac:dyDescent="0.3">
      <c r="Q28" s="9"/>
      <c r="R28" s="9"/>
      <c r="S28" s="9"/>
      <c r="T28" s="9"/>
      <c r="U28" s="9"/>
    </row>
    <row r="29" spans="1:22" x14ac:dyDescent="0.3"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9"/>
      <c r="R29" s="9"/>
      <c r="S29" s="9"/>
      <c r="T29" s="9"/>
      <c r="U29" s="9"/>
    </row>
    <row r="30" spans="1:22" x14ac:dyDescent="0.3">
      <c r="Q30" s="9"/>
      <c r="R30" s="9"/>
      <c r="S30" s="9"/>
      <c r="T30" s="9"/>
      <c r="U30" s="9"/>
    </row>
    <row r="31" spans="1:22" x14ac:dyDescent="0.3">
      <c r="M31" s="20"/>
      <c r="O31" s="20"/>
      <c r="Q31" s="9"/>
      <c r="R31" s="9"/>
      <c r="S31" s="9"/>
      <c r="T31" s="9"/>
      <c r="U31" s="9"/>
    </row>
    <row r="32" spans="1:22" x14ac:dyDescent="0.3">
      <c r="M32" s="20"/>
      <c r="O32" s="20"/>
      <c r="Q32" s="9"/>
      <c r="R32" s="9"/>
      <c r="S32" s="9"/>
      <c r="T32" s="9"/>
      <c r="U32" s="9"/>
    </row>
    <row r="33" spans="5:21" x14ac:dyDescent="0.3">
      <c r="M33" s="20"/>
      <c r="O33" s="20"/>
      <c r="Q33" s="9"/>
      <c r="R33" s="9"/>
      <c r="S33" s="9"/>
      <c r="T33" s="9"/>
      <c r="U33" s="9"/>
    </row>
    <row r="34" spans="5:21" x14ac:dyDescent="0.3">
      <c r="Q34" s="9"/>
      <c r="R34" s="9"/>
      <c r="S34" s="9"/>
      <c r="T34" s="9"/>
      <c r="U34" s="9"/>
    </row>
    <row r="35" spans="5:21" x14ac:dyDescent="0.3"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9"/>
      <c r="R35" s="9"/>
      <c r="S35" s="9"/>
      <c r="T35" s="9"/>
      <c r="U35" s="9"/>
    </row>
    <row r="36" spans="5:21" x14ac:dyDescent="0.3">
      <c r="Q36" s="9"/>
      <c r="R36" s="9"/>
      <c r="S36" s="9"/>
      <c r="T36" s="9"/>
      <c r="U36" s="9"/>
    </row>
    <row r="41" spans="5:21" x14ac:dyDescent="0.3"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</row>
  </sheetData>
  <mergeCells count="17">
    <mergeCell ref="K2:L2"/>
    <mergeCell ref="E1:H1"/>
    <mergeCell ref="I1:L1"/>
    <mergeCell ref="D1:D3"/>
    <mergeCell ref="A22:P22"/>
    <mergeCell ref="S5:V5"/>
    <mergeCell ref="S10:V10"/>
    <mergeCell ref="S15:V15"/>
    <mergeCell ref="Q2:Q17"/>
    <mergeCell ref="A1:A3"/>
    <mergeCell ref="B1:B3"/>
    <mergeCell ref="C1:C3"/>
    <mergeCell ref="M1:N1"/>
    <mergeCell ref="O1:P1"/>
    <mergeCell ref="E2:F2"/>
    <mergeCell ref="G2:H2"/>
    <mergeCell ref="I2:J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C94"/>
  <sheetViews>
    <sheetView topLeftCell="K11" zoomScale="90" zoomScaleNormal="90" workbookViewId="0">
      <selection activeCell="Q44" sqref="Q44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100" t="s">
        <v>33</v>
      </c>
      <c r="B1" s="92" t="s">
        <v>26</v>
      </c>
      <c r="C1" s="102" t="s">
        <v>23</v>
      </c>
      <c r="D1" s="93" t="s">
        <v>24</v>
      </c>
      <c r="E1" s="92" t="s">
        <v>5</v>
      </c>
      <c r="F1" s="97"/>
      <c r="G1" s="97"/>
      <c r="H1" s="93"/>
      <c r="I1" s="92" t="s">
        <v>9</v>
      </c>
      <c r="J1" s="97"/>
      <c r="K1" s="97"/>
      <c r="L1" s="93"/>
      <c r="M1" s="92" t="s">
        <v>10</v>
      </c>
      <c r="N1" s="93"/>
      <c r="O1" s="92" t="s">
        <v>11</v>
      </c>
      <c r="P1" s="93"/>
      <c r="Q1" s="94" t="s">
        <v>135</v>
      </c>
      <c r="R1" s="78"/>
    </row>
    <row r="2" spans="1:18" x14ac:dyDescent="0.3">
      <c r="A2" s="100"/>
      <c r="B2" s="94"/>
      <c r="C2" s="103"/>
      <c r="D2" s="96"/>
      <c r="E2" s="94" t="s">
        <v>12</v>
      </c>
      <c r="F2" s="95"/>
      <c r="G2" s="95" t="s">
        <v>13</v>
      </c>
      <c r="H2" s="96"/>
      <c r="I2" s="94" t="s">
        <v>12</v>
      </c>
      <c r="J2" s="95"/>
      <c r="K2" s="95" t="s">
        <v>13</v>
      </c>
      <c r="L2" s="96"/>
      <c r="M2" s="22"/>
      <c r="N2" s="23"/>
      <c r="O2" s="22"/>
      <c r="P2" s="23"/>
      <c r="Q2" s="94"/>
      <c r="R2" s="78"/>
    </row>
    <row r="3" spans="1:18" ht="15" thickBot="1" x14ac:dyDescent="0.35">
      <c r="A3" s="100"/>
      <c r="B3" s="101"/>
      <c r="C3" s="104"/>
      <c r="D3" s="105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  <c r="Q3" s="94"/>
      <c r="R3" s="78"/>
    </row>
    <row r="4" spans="1:18" x14ac:dyDescent="0.3">
      <c r="A4" s="100"/>
      <c r="B4" s="79" t="s">
        <v>37</v>
      </c>
      <c r="C4" s="82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100"/>
      <c r="B5" s="89"/>
      <c r="C5" s="83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100"/>
      <c r="B6" s="89"/>
      <c r="C6" s="83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100"/>
      <c r="B7" s="89"/>
      <c r="C7" s="83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100"/>
      <c r="B8" s="89"/>
      <c r="C8" s="83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100"/>
      <c r="B9" s="89"/>
      <c r="C9" s="83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100"/>
      <c r="B10" s="89"/>
      <c r="C10" s="91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100"/>
      <c r="B11" s="89"/>
      <c r="C11" s="82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100"/>
      <c r="B12" s="89"/>
      <c r="C12" s="83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100"/>
      <c r="B13" s="89"/>
      <c r="C13" s="83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100"/>
      <c r="B14" s="89"/>
      <c r="C14" s="83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100"/>
      <c r="B15" s="89"/>
      <c r="C15" s="83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100"/>
      <c r="B16" s="89"/>
      <c r="C16" s="83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100"/>
      <c r="B17" s="89"/>
      <c r="C17" s="91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100"/>
      <c r="B18" s="82" t="s">
        <v>38</v>
      </c>
      <c r="C18" s="82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100"/>
      <c r="B19" s="83"/>
      <c r="C19" s="83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100"/>
      <c r="B20" s="83"/>
      <c r="C20" s="83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100"/>
      <c r="B21" s="83"/>
      <c r="C21" s="83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100"/>
      <c r="B22" s="83"/>
      <c r="C22" s="83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100"/>
      <c r="B23" s="83"/>
      <c r="C23" s="83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100"/>
      <c r="B24" s="91"/>
      <c r="C24" s="91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79">
        <v>14</v>
      </c>
      <c r="C26" s="82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89"/>
      <c r="C27" s="83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89"/>
      <c r="C28" s="83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89"/>
      <c r="C29" s="83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89"/>
      <c r="C30" s="83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89"/>
      <c r="C31" s="83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89"/>
      <c r="C32" s="91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89"/>
      <c r="C33" s="82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89"/>
      <c r="C34" s="83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89"/>
      <c r="C35" s="83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89"/>
      <c r="C36" s="83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89"/>
      <c r="C37" s="83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89"/>
      <c r="C38" s="83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98"/>
      <c r="C39" s="91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79">
        <v>25</v>
      </c>
      <c r="C40" s="80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4.7999999999999996E-3</v>
      </c>
      <c r="J40" s="15">
        <v>6.0000000000000001E-3</v>
      </c>
      <c r="K40" s="15">
        <v>3.7330999999999999</v>
      </c>
      <c r="L40" s="15">
        <v>1.6990000000000001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89"/>
      <c r="C41" s="88"/>
      <c r="D41" s="9">
        <v>2</v>
      </c>
      <c r="E41" s="27">
        <v>5.0000000000000001E-4</v>
      </c>
      <c r="F41" s="27">
        <v>1.6999999999999999E-3</v>
      </c>
      <c r="G41" s="27">
        <v>0.4022</v>
      </c>
      <c r="H41" s="27">
        <v>0.2324</v>
      </c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89"/>
      <c r="C42" s="88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89"/>
      <c r="C43" s="88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85" t="s">
        <v>86</v>
      </c>
      <c r="Y43" s="86"/>
      <c r="Z43" s="86"/>
      <c r="AA43" s="87"/>
    </row>
    <row r="44" spans="2:27" x14ac:dyDescent="0.3">
      <c r="B44" s="89"/>
      <c r="C44" s="88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89"/>
      <c r="C45" s="88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98"/>
      <c r="C46" s="99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85" t="s">
        <v>18</v>
      </c>
      <c r="Y48" s="86"/>
      <c r="Z48" s="86"/>
      <c r="AA48" s="87"/>
    </row>
    <row r="49" spans="1:29" x14ac:dyDescent="0.3">
      <c r="X49" s="3"/>
      <c r="Y49" s="2" t="s">
        <v>16</v>
      </c>
      <c r="Z49" s="4" t="s">
        <v>19</v>
      </c>
      <c r="AA49" s="4" t="s">
        <v>17</v>
      </c>
    </row>
    <row r="50" spans="1:29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-1.2000000000000002</v>
      </c>
      <c r="J50">
        <f>AVERAGE(J40,J18)*1000</f>
        <v>9.0499999999999989</v>
      </c>
      <c r="K50">
        <f>AVERAGE(K40,K18)</f>
        <v>4.2655000000000003</v>
      </c>
      <c r="L50">
        <f>AVERAGE(L40,L18)</f>
        <v>1.7115499999999999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9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9" ht="15" thickBot="1" x14ac:dyDescent="0.35">
      <c r="AC52" t="s">
        <v>120</v>
      </c>
    </row>
    <row r="53" spans="1:29" x14ac:dyDescent="0.3">
      <c r="A53" s="79" t="s">
        <v>39</v>
      </c>
      <c r="B53" s="80" t="s">
        <v>37</v>
      </c>
      <c r="C53" s="80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85" t="s">
        <v>20</v>
      </c>
      <c r="Y53" s="86"/>
      <c r="Z53" s="86"/>
      <c r="AA53" s="87"/>
    </row>
    <row r="54" spans="1:29" x14ac:dyDescent="0.3">
      <c r="A54" s="89"/>
      <c r="B54" s="88"/>
      <c r="C54" s="88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9" x14ac:dyDescent="0.3">
      <c r="A55" s="89"/>
      <c r="B55" s="88"/>
      <c r="C55" s="88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9" ht="15" thickBot="1" x14ac:dyDescent="0.35">
      <c r="A56" s="89"/>
      <c r="B56" s="88"/>
      <c r="C56" s="88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9" x14ac:dyDescent="0.3">
      <c r="A57" s="89"/>
      <c r="B57" s="88"/>
      <c r="C57" s="88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9" x14ac:dyDescent="0.3">
      <c r="A58" s="89"/>
      <c r="B58" s="88"/>
      <c r="C58" s="88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9" x14ac:dyDescent="0.3">
      <c r="A59" s="89"/>
      <c r="B59" s="88"/>
      <c r="C59" s="88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9" x14ac:dyDescent="0.3">
      <c r="A60" s="89"/>
      <c r="B60" s="88" t="s">
        <v>38</v>
      </c>
      <c r="C60" s="88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9" x14ac:dyDescent="0.3">
      <c r="A61" s="89"/>
      <c r="B61" s="88"/>
      <c r="C61" s="88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9" x14ac:dyDescent="0.3">
      <c r="A62" s="89"/>
      <c r="B62" s="88"/>
      <c r="C62" s="88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9" x14ac:dyDescent="0.3">
      <c r="A63" s="89"/>
      <c r="B63" s="88"/>
      <c r="C63" s="88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9" x14ac:dyDescent="0.3">
      <c r="A64" s="89"/>
      <c r="B64" s="88"/>
      <c r="C64" s="88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89"/>
      <c r="B65" s="88"/>
      <c r="C65" s="88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98"/>
      <c r="B66" s="99"/>
      <c r="C66" s="99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79" t="s">
        <v>2</v>
      </c>
      <c r="B70" s="80">
        <v>14</v>
      </c>
      <c r="C70" s="80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89"/>
      <c r="B71" s="88"/>
      <c r="C71" s="88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89"/>
      <c r="B72" s="88"/>
      <c r="C72" s="88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89"/>
      <c r="B73" s="88"/>
      <c r="C73" s="88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89"/>
      <c r="B74" s="88"/>
      <c r="C74" s="88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89"/>
      <c r="B75" s="88"/>
      <c r="C75" s="88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89"/>
      <c r="B76" s="88"/>
      <c r="C76" s="88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89"/>
      <c r="B77" s="88">
        <v>25</v>
      </c>
      <c r="C77" s="88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2.29E-2</v>
      </c>
      <c r="J77" s="27">
        <v>1.11E-2</v>
      </c>
      <c r="K77" s="27">
        <v>5.9015000000000004</v>
      </c>
      <c r="L77" s="27">
        <v>2.1833</v>
      </c>
      <c r="M77" s="9">
        <v>1.3809999999999999E-2</v>
      </c>
      <c r="N77" s="9">
        <v>5.0000000000000001E-3</v>
      </c>
      <c r="O77" s="10">
        <v>6.0000000000000001E-3</v>
      </c>
    </row>
    <row r="78" spans="1:17" x14ac:dyDescent="0.3">
      <c r="A78" s="89"/>
      <c r="B78" s="88"/>
      <c r="C78" s="88"/>
      <c r="D78" s="9">
        <v>2</v>
      </c>
      <c r="E78" s="27">
        <v>1.2999999999999999E-3</v>
      </c>
      <c r="F78" s="27">
        <v>2.5000000000000001E-3</v>
      </c>
      <c r="G78" s="27">
        <v>0.63729999999999998</v>
      </c>
      <c r="H78" s="27">
        <v>0.36940000000000001</v>
      </c>
      <c r="I78" s="9"/>
      <c r="J78" s="9"/>
      <c r="K78" s="9"/>
      <c r="L78" s="9"/>
      <c r="M78" s="9"/>
      <c r="N78" s="9"/>
      <c r="O78" s="10"/>
    </row>
    <row r="79" spans="1:17" x14ac:dyDescent="0.3">
      <c r="A79" s="89"/>
      <c r="B79" s="88"/>
      <c r="C79" s="88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89"/>
      <c r="B80" s="88"/>
      <c r="C80" s="88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89"/>
      <c r="B81" s="88"/>
      <c r="C81" s="88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89"/>
      <c r="B82" s="88"/>
      <c r="C82" s="88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98"/>
      <c r="B83" s="99"/>
      <c r="C83" s="99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16.150000000000002</v>
      </c>
      <c r="J86">
        <f>AVERAGE(J60,J77)*1000</f>
        <v>10.050000000000001</v>
      </c>
      <c r="K86" s="25">
        <f>AVERAGE(K60,K77)</f>
        <v>4.6353</v>
      </c>
      <c r="L86">
        <f>AVERAGE(L60,L77)</f>
        <v>1.7372000000000001</v>
      </c>
      <c r="M86">
        <f>AVERAGE(M60,M77)*1000</f>
        <v>11.404999999999998</v>
      </c>
      <c r="N86">
        <f>AVERAGE(N60,N77)*1000</f>
        <v>4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1.1000000000000001E-3</v>
      </c>
      <c r="F89">
        <v>3.3999999999999998E-3</v>
      </c>
      <c r="G89">
        <v>0.83320000000000005</v>
      </c>
      <c r="H89">
        <v>0.69330000000000003</v>
      </c>
      <c r="I89">
        <v>6.1000000000000004E-3</v>
      </c>
      <c r="J89">
        <v>1.2999999999999999E-2</v>
      </c>
      <c r="K89">
        <v>6.04</v>
      </c>
      <c r="L89">
        <v>3.05</v>
      </c>
      <c r="M89">
        <v>1.5769999999999999E-2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1.4E-3</v>
      </c>
      <c r="F92">
        <v>3.0000000000000001E-3</v>
      </c>
      <c r="G92">
        <v>0.77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1.25</v>
      </c>
      <c r="F94">
        <f>AVERAGE(F89,F92)*1000</f>
        <v>3.1999999999999997</v>
      </c>
      <c r="G94">
        <f>AVERAGE(G89,G92)</f>
        <v>0.80160000000000009</v>
      </c>
      <c r="H94">
        <f>AVERAGE(H89,H92)</f>
        <v>0.56164999999999998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12.385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6"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Q1:R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AB43"/>
  <sheetViews>
    <sheetView tabSelected="1" workbookViewId="0">
      <selection activeCell="J25" sqref="J25"/>
    </sheetView>
  </sheetViews>
  <sheetFormatPr defaultRowHeight="14.4" x14ac:dyDescent="0.3"/>
  <cols>
    <col min="1" max="1" width="27.33203125" bestFit="1" customWidth="1"/>
    <col min="2" max="2" width="5.6640625" hidden="1" customWidth="1"/>
    <col min="3" max="4" width="12.33203125" customWidth="1"/>
    <col min="5" max="5" width="10.77734375" customWidth="1"/>
    <col min="6" max="6" width="9.5546875" customWidth="1"/>
    <col min="7" max="7" width="7.88671875" customWidth="1"/>
    <col min="8" max="10" width="7.21875" customWidth="1"/>
    <col min="11" max="12" width="9.5546875" bestFit="1" customWidth="1"/>
    <col min="13" max="14" width="9" bestFit="1" customWidth="1"/>
    <col min="15" max="15" width="10.21875" bestFit="1" customWidth="1"/>
    <col min="16" max="21" width="9.5546875" bestFit="1" customWidth="1"/>
    <col min="22" max="22" width="9" bestFit="1" customWidth="1"/>
    <col min="25" max="25" width="20.109375" bestFit="1" customWidth="1"/>
    <col min="26" max="26" width="16.88671875" bestFit="1" customWidth="1"/>
    <col min="27" max="28" width="18.44140625" bestFit="1" customWidth="1"/>
  </cols>
  <sheetData>
    <row r="1" spans="1:28" x14ac:dyDescent="0.3">
      <c r="A1" s="82" t="s">
        <v>95</v>
      </c>
      <c r="B1" s="79" t="s">
        <v>26</v>
      </c>
      <c r="C1" s="82" t="s">
        <v>23</v>
      </c>
      <c r="D1" s="82" t="s">
        <v>137</v>
      </c>
      <c r="E1" s="82" t="s">
        <v>136</v>
      </c>
      <c r="F1" s="92" t="s">
        <v>134</v>
      </c>
      <c r="G1" s="97"/>
      <c r="H1" s="92" t="s">
        <v>166</v>
      </c>
      <c r="I1" s="93"/>
      <c r="J1" s="102" t="s">
        <v>165</v>
      </c>
      <c r="K1" s="79" t="s">
        <v>5</v>
      </c>
      <c r="L1" s="80"/>
      <c r="M1" s="80"/>
      <c r="N1" s="81"/>
      <c r="O1" s="79" t="s">
        <v>9</v>
      </c>
      <c r="P1" s="80"/>
      <c r="Q1" s="80"/>
      <c r="R1" s="81"/>
      <c r="S1" s="79" t="s">
        <v>10</v>
      </c>
      <c r="T1" s="81"/>
      <c r="U1" s="79" t="s">
        <v>11</v>
      </c>
      <c r="V1" s="81"/>
    </row>
    <row r="2" spans="1:28" x14ac:dyDescent="0.3">
      <c r="A2" s="83"/>
      <c r="B2" s="89"/>
      <c r="C2" s="83"/>
      <c r="D2" s="83"/>
      <c r="E2" s="83"/>
      <c r="F2" s="94"/>
      <c r="G2" s="95"/>
      <c r="H2" s="94"/>
      <c r="I2" s="96"/>
      <c r="J2" s="103"/>
      <c r="K2" s="89" t="s">
        <v>12</v>
      </c>
      <c r="L2" s="88"/>
      <c r="M2" s="88" t="s">
        <v>13</v>
      </c>
      <c r="N2" s="90"/>
      <c r="O2" s="89" t="s">
        <v>12</v>
      </c>
      <c r="P2" s="88"/>
      <c r="Q2" s="88" t="s">
        <v>13</v>
      </c>
      <c r="R2" s="90"/>
      <c r="S2" s="63"/>
      <c r="T2" s="64"/>
      <c r="U2" s="63"/>
      <c r="V2" s="64"/>
    </row>
    <row r="3" spans="1:28" ht="15" thickBot="1" x14ac:dyDescent="0.35">
      <c r="A3" s="91"/>
      <c r="B3" s="98"/>
      <c r="C3" s="91"/>
      <c r="D3" s="91"/>
      <c r="E3" s="91"/>
      <c r="F3" s="101"/>
      <c r="G3" s="106"/>
      <c r="H3" s="101"/>
      <c r="I3" s="105"/>
      <c r="J3" s="104"/>
      <c r="K3" s="65" t="s">
        <v>7</v>
      </c>
      <c r="L3" s="66" t="s">
        <v>8</v>
      </c>
      <c r="M3" s="66" t="s">
        <v>7</v>
      </c>
      <c r="N3" s="67" t="s">
        <v>8</v>
      </c>
      <c r="O3" s="65" t="s">
        <v>7</v>
      </c>
      <c r="P3" s="66" t="s">
        <v>8</v>
      </c>
      <c r="Q3" s="66" t="s">
        <v>7</v>
      </c>
      <c r="R3" s="67" t="s">
        <v>8</v>
      </c>
      <c r="S3" s="65" t="s">
        <v>7</v>
      </c>
      <c r="T3" s="67" t="s">
        <v>8</v>
      </c>
      <c r="U3" s="65" t="s">
        <v>7</v>
      </c>
      <c r="V3" s="67"/>
    </row>
    <row r="4" spans="1:28" x14ac:dyDescent="0.3">
      <c r="A4" t="s">
        <v>33</v>
      </c>
      <c r="B4">
        <v>21</v>
      </c>
      <c r="C4">
        <v>6.0000000000000001E-3</v>
      </c>
      <c r="D4">
        <v>2.13</v>
      </c>
      <c r="E4">
        <v>47</v>
      </c>
      <c r="F4">
        <v>1.0999999999999999E-2</v>
      </c>
      <c r="G4" s="9">
        <v>25</v>
      </c>
      <c r="H4" s="27">
        <v>1.4999999999999999E-2</v>
      </c>
      <c r="I4" s="27">
        <v>0.8</v>
      </c>
      <c r="J4" s="27"/>
      <c r="K4">
        <v>7.0000000000000001E-3</v>
      </c>
      <c r="L4">
        <v>5.4000000000000003E-3</v>
      </c>
      <c r="M4">
        <v>1.1315</v>
      </c>
      <c r="N4">
        <v>0.63800000000000001</v>
      </c>
      <c r="O4">
        <v>-4.6699999999999998E-2</v>
      </c>
      <c r="P4">
        <v>6.1100000000000002E-2</v>
      </c>
      <c r="Q4">
        <v>15.2835</v>
      </c>
      <c r="R4">
        <v>5.7885</v>
      </c>
      <c r="S4">
        <v>1.4319999999999999E-2</v>
      </c>
      <c r="T4">
        <v>7.0000000000000001E-3</v>
      </c>
      <c r="U4">
        <v>1.3650000000000001E-2</v>
      </c>
      <c r="X4" s="9"/>
      <c r="Y4" s="3"/>
      <c r="Z4" s="2" t="s">
        <v>16</v>
      </c>
      <c r="AA4" s="4" t="s">
        <v>19</v>
      </c>
      <c r="AB4" s="4" t="s">
        <v>19</v>
      </c>
    </row>
    <row r="5" spans="1:28" x14ac:dyDescent="0.3">
      <c r="A5" t="s">
        <v>32</v>
      </c>
      <c r="B5">
        <v>20</v>
      </c>
      <c r="C5">
        <v>6.0000000000000001E-3</v>
      </c>
      <c r="D5">
        <v>2.0099999999999998</v>
      </c>
      <c r="E5">
        <v>50</v>
      </c>
      <c r="F5">
        <v>1.2E-2</v>
      </c>
      <c r="G5" s="9">
        <v>20</v>
      </c>
      <c r="H5" s="27">
        <v>1.4999999999999999E-2</v>
      </c>
      <c r="I5" s="27">
        <v>0.8</v>
      </c>
      <c r="J5" s="27" t="s">
        <v>168</v>
      </c>
      <c r="K5">
        <v>8.0999999999999996E-3</v>
      </c>
      <c r="L5">
        <v>5.7000000000000002E-3</v>
      </c>
      <c r="M5">
        <v>1.1162000000000001</v>
      </c>
      <c r="N5">
        <v>0.57999999999999996</v>
      </c>
      <c r="O5">
        <v>-4.1000000000000002E-2</v>
      </c>
      <c r="P5">
        <v>4.02E-2</v>
      </c>
      <c r="Q5">
        <v>9.6510999999999996</v>
      </c>
      <c r="R5">
        <v>6.5898000000000003</v>
      </c>
      <c r="S5">
        <v>2.1389999999999999E-2</v>
      </c>
      <c r="T5">
        <v>8.0000000000000002E-3</v>
      </c>
      <c r="U5">
        <v>1.29E-2</v>
      </c>
      <c r="X5" s="9"/>
      <c r="Y5" s="3" t="s">
        <v>14</v>
      </c>
      <c r="Z5" s="51" t="s">
        <v>121</v>
      </c>
      <c r="AA5" s="52" t="s">
        <v>122</v>
      </c>
      <c r="AB5" s="4" t="s">
        <v>123</v>
      </c>
    </row>
    <row r="6" spans="1:28" ht="15" thickBot="1" x14ac:dyDescent="0.35">
      <c r="X6" s="9"/>
      <c r="Y6" s="5" t="s">
        <v>15</v>
      </c>
      <c r="Z6" s="6" t="s">
        <v>111</v>
      </c>
      <c r="AA6" s="7" t="s">
        <v>113</v>
      </c>
      <c r="AB6" s="7" t="s">
        <v>124</v>
      </c>
    </row>
    <row r="7" spans="1:28" ht="15" thickBot="1" x14ac:dyDescent="0.35">
      <c r="K7" s="49">
        <f>AVERAGE(K4:K5)*1000</f>
        <v>7.55</v>
      </c>
      <c r="L7" s="49">
        <f>AVERAGE(L4:L5)*1000</f>
        <v>5.55</v>
      </c>
      <c r="M7" s="49">
        <f>AVERAGE(M4:M5)</f>
        <v>1.12385</v>
      </c>
      <c r="N7" s="49">
        <f>AVERAGE(N4:N5)</f>
        <v>0.60899999999999999</v>
      </c>
      <c r="O7" s="49">
        <f>AVERAGE(O4:O5)*1000</f>
        <v>-43.85</v>
      </c>
      <c r="P7" s="49">
        <f>AVERAGE(P4:P5)*1000</f>
        <v>50.65</v>
      </c>
      <c r="Q7" s="49">
        <f>AVERAGE(Q4:Q5)</f>
        <v>12.4673</v>
      </c>
      <c r="R7" s="49">
        <f>AVERAGE(R4:R5)</f>
        <v>6.1891499999999997</v>
      </c>
      <c r="S7" s="49">
        <f>AVERAGE(S4:S5)*1000</f>
        <v>17.855</v>
      </c>
      <c r="T7" s="49">
        <f>AVERAGE(T4:T5)*1000</f>
        <v>7.5</v>
      </c>
      <c r="U7" s="49">
        <f>AVERAGE(U4:U5)*1000</f>
        <v>13.275</v>
      </c>
      <c r="V7" s="49">
        <f>_xlfn.STDEV.P(U4:U5)*1000</f>
        <v>0.37500000000000033</v>
      </c>
      <c r="X7" s="9"/>
    </row>
    <row r="8" spans="1:28" x14ac:dyDescent="0.3">
      <c r="X8" s="9"/>
      <c r="Y8" s="85" t="s">
        <v>18</v>
      </c>
      <c r="Z8" s="86"/>
      <c r="AA8" s="86"/>
      <c r="AB8" s="87"/>
    </row>
    <row r="9" spans="1:28" x14ac:dyDescent="0.3">
      <c r="B9">
        <v>21</v>
      </c>
      <c r="S9" s="20"/>
      <c r="U9" s="20"/>
      <c r="W9" s="78"/>
      <c r="X9" s="96"/>
      <c r="Y9" s="3"/>
      <c r="Z9" s="2" t="s">
        <v>16</v>
      </c>
      <c r="AA9" s="4" t="s">
        <v>19</v>
      </c>
      <c r="AB9" s="4" t="s">
        <v>17</v>
      </c>
    </row>
    <row r="10" spans="1:28" x14ac:dyDescent="0.3">
      <c r="A10" t="s">
        <v>34</v>
      </c>
      <c r="B10">
        <v>23</v>
      </c>
      <c r="C10">
        <v>8.9999999999999993E-3</v>
      </c>
      <c r="D10">
        <v>2.1349999999999998</v>
      </c>
      <c r="E10">
        <v>20</v>
      </c>
      <c r="F10" s="61">
        <v>2.8000000000000001E-2</v>
      </c>
      <c r="G10" s="68">
        <v>5</v>
      </c>
      <c r="H10" s="68"/>
      <c r="I10" s="68"/>
      <c r="J10" s="68" t="s">
        <v>167</v>
      </c>
      <c r="K10">
        <v>1.0800000000000001E-2</v>
      </c>
      <c r="L10">
        <v>7.1000000000000004E-3</v>
      </c>
      <c r="M10">
        <v>1.5659000000000001</v>
      </c>
      <c r="N10">
        <v>0.85170000000000001</v>
      </c>
      <c r="O10">
        <v>-2.23E-2</v>
      </c>
      <c r="P10">
        <v>9.1999999999999998E-2</v>
      </c>
      <c r="Q10">
        <v>21.683900000000001</v>
      </c>
      <c r="R10">
        <v>5.5289000000000001</v>
      </c>
      <c r="S10" s="20">
        <v>1.523E-2</v>
      </c>
      <c r="T10">
        <v>1.2E-2</v>
      </c>
      <c r="U10" s="20">
        <v>1.2999999999999999E-2</v>
      </c>
      <c r="W10" s="61"/>
      <c r="X10" s="62"/>
      <c r="Y10" s="3" t="s">
        <v>14</v>
      </c>
      <c r="Z10" s="2" t="s">
        <v>104</v>
      </c>
      <c r="AA10" s="4" t="s">
        <v>106</v>
      </c>
      <c r="AB10" s="4" t="s">
        <v>126</v>
      </c>
    </row>
    <row r="11" spans="1:28" ht="15" thickBot="1" x14ac:dyDescent="0.35">
      <c r="A11" t="s">
        <v>35</v>
      </c>
      <c r="B11">
        <v>21</v>
      </c>
      <c r="C11">
        <v>6.0000000000000001E-3</v>
      </c>
      <c r="D11">
        <v>2.0499999999999998</v>
      </c>
      <c r="E11">
        <v>22</v>
      </c>
      <c r="F11" s="61">
        <v>2.8000000000000001E-2</v>
      </c>
      <c r="G11" s="68">
        <v>5</v>
      </c>
      <c r="H11" s="68"/>
      <c r="I11" s="68"/>
      <c r="J11" s="68"/>
      <c r="K11">
        <v>9.4999999999999998E-3</v>
      </c>
      <c r="L11">
        <v>6.7000000000000002E-3</v>
      </c>
      <c r="M11">
        <v>1.4435</v>
      </c>
      <c r="N11">
        <v>0.82020000000000004</v>
      </c>
      <c r="O11">
        <f>--0.0217</f>
        <v>2.1700000000000001E-2</v>
      </c>
      <c r="P11">
        <v>8.9800000000000005E-2</v>
      </c>
      <c r="Q11">
        <v>17.864660000000001</v>
      </c>
      <c r="R11">
        <v>10.98</v>
      </c>
      <c r="S11" s="20">
        <v>1.9279999999999999E-2</v>
      </c>
      <c r="T11">
        <v>1.6E-2</v>
      </c>
      <c r="U11" s="20">
        <v>1.7000000000000001E-2</v>
      </c>
      <c r="W11" s="61"/>
      <c r="X11" s="62"/>
      <c r="Y11" s="5" t="s">
        <v>15</v>
      </c>
      <c r="Z11" s="6" t="s">
        <v>105</v>
      </c>
      <c r="AA11" s="7" t="s">
        <v>107</v>
      </c>
      <c r="AB11" s="7" t="s">
        <v>125</v>
      </c>
    </row>
    <row r="12" spans="1:28" ht="15" thickBot="1" x14ac:dyDescent="0.35">
      <c r="X12" s="9"/>
    </row>
    <row r="13" spans="1:28" x14ac:dyDescent="0.3">
      <c r="K13" s="49">
        <f>AVERAGE(K10:K11)*1000</f>
        <v>10.149999999999999</v>
      </c>
      <c r="L13" s="49">
        <f>AVERAGE(L10:L11)*1000</f>
        <v>6.8999999999999995</v>
      </c>
      <c r="M13" s="49">
        <f>AVERAGE(M10:M11)</f>
        <v>1.5047000000000001</v>
      </c>
      <c r="N13" s="49">
        <f>AVERAGE(N10:N11)</f>
        <v>0.83594999999999997</v>
      </c>
      <c r="O13" s="49">
        <f>AVERAGE(O10:O11)*1000</f>
        <v>-0.29999999999999993</v>
      </c>
      <c r="P13" s="49">
        <f>AVERAGE(P10:P11)*1000</f>
        <v>90.9</v>
      </c>
      <c r="Q13" s="49">
        <f>AVERAGE(Q10:Q11)</f>
        <v>19.774280000000001</v>
      </c>
      <c r="R13" s="49">
        <f>AVERAGE(R10:R11)</f>
        <v>8.2544500000000003</v>
      </c>
      <c r="S13" s="49">
        <f>AVERAGE(S10:S11)*1000</f>
        <v>17.254999999999999</v>
      </c>
      <c r="T13" s="49">
        <f>AVERAGE(T10:T11)*1000</f>
        <v>14</v>
      </c>
      <c r="U13" s="49">
        <f>AVERAGE(U10:U11)*1000</f>
        <v>15</v>
      </c>
      <c r="V13" s="49">
        <f>_xlfn.STDEV.P(U9:U11)*1000</f>
        <v>2.0000000000000009</v>
      </c>
      <c r="X13" s="9"/>
      <c r="Y13" s="85" t="s">
        <v>20</v>
      </c>
      <c r="Z13" s="86"/>
      <c r="AA13" s="86"/>
      <c r="AB13" s="87"/>
    </row>
    <row r="14" spans="1:28" x14ac:dyDescent="0.3">
      <c r="X14" s="9"/>
      <c r="Y14" s="3"/>
      <c r="Z14" s="2" t="s">
        <v>16</v>
      </c>
      <c r="AA14" s="4" t="s">
        <v>19</v>
      </c>
      <c r="AB14" s="4" t="s">
        <v>17</v>
      </c>
    </row>
    <row r="15" spans="1:28" x14ac:dyDescent="0.3">
      <c r="A15" t="s">
        <v>116</v>
      </c>
      <c r="B15">
        <v>21</v>
      </c>
      <c r="C15">
        <v>8.9999999999999993E-3</v>
      </c>
      <c r="D15">
        <v>2.0750000000000002</v>
      </c>
      <c r="E15">
        <v>22</v>
      </c>
      <c r="F15">
        <v>2.5000000000000001E-2</v>
      </c>
      <c r="G15" s="9">
        <v>5</v>
      </c>
      <c r="H15" s="9"/>
      <c r="I15" s="9"/>
      <c r="J15" s="9"/>
      <c r="K15">
        <v>7.7999999999999996E-3</v>
      </c>
      <c r="L15">
        <v>6.1000000000000004E-3</v>
      </c>
      <c r="M15">
        <v>1.3678999999999999</v>
      </c>
      <c r="N15">
        <v>0.80669999999999997</v>
      </c>
      <c r="O15">
        <v>-1.9800000000000002E-2</v>
      </c>
      <c r="P15">
        <v>6.4500000000000002E-2</v>
      </c>
      <c r="Q15">
        <v>15.1737</v>
      </c>
      <c r="R15">
        <v>5.2564000000000002</v>
      </c>
      <c r="S15">
        <v>2.1950000000000001E-2</v>
      </c>
      <c r="T15">
        <v>1.7000000000000001E-2</v>
      </c>
      <c r="U15">
        <v>1.6E-2</v>
      </c>
      <c r="X15" s="9"/>
      <c r="Y15" s="3" t="s">
        <v>21</v>
      </c>
      <c r="Z15" s="2" t="s">
        <v>99</v>
      </c>
      <c r="AA15" s="4" t="s">
        <v>100</v>
      </c>
      <c r="AB15" s="4" t="s">
        <v>127</v>
      </c>
    </row>
    <row r="16" spans="1:28" ht="15" thickBot="1" x14ac:dyDescent="0.35">
      <c r="A16" t="s">
        <v>117</v>
      </c>
      <c r="B16">
        <v>21</v>
      </c>
      <c r="C16">
        <v>0.02</v>
      </c>
      <c r="D16">
        <v>2.12</v>
      </c>
      <c r="F16">
        <v>2.5999999999999999E-2</v>
      </c>
      <c r="G16" s="9">
        <v>5</v>
      </c>
      <c r="H16" s="9"/>
      <c r="I16" s="9"/>
      <c r="J16" s="9"/>
      <c r="K16">
        <v>1.01E-2</v>
      </c>
      <c r="L16">
        <v>7.3000000000000001E-3</v>
      </c>
      <c r="M16">
        <v>1.4663999999999999</v>
      </c>
      <c r="N16">
        <v>0.85129999999999995</v>
      </c>
      <c r="O16">
        <v>-1.78E-2</v>
      </c>
      <c r="P16">
        <v>5.5300000000000002E-2</v>
      </c>
      <c r="Q16">
        <v>15.3383</v>
      </c>
      <c r="R16">
        <v>2.9820000000000002</v>
      </c>
      <c r="S16">
        <v>2.2329999999999999E-2</v>
      </c>
      <c r="T16">
        <v>1.4E-2</v>
      </c>
      <c r="U16">
        <v>1.6500000000000001E-2</v>
      </c>
      <c r="X16" s="9"/>
      <c r="Y16" s="5" t="s">
        <v>22</v>
      </c>
      <c r="Z16" s="6" t="s">
        <v>98</v>
      </c>
      <c r="AA16" s="7" t="s">
        <v>101</v>
      </c>
      <c r="AB16" s="7" t="s">
        <v>128</v>
      </c>
    </row>
    <row r="17" spans="1:27" x14ac:dyDescent="0.3">
      <c r="X17" s="9"/>
      <c r="Y17" s="9"/>
    </row>
    <row r="18" spans="1:27" x14ac:dyDescent="0.3">
      <c r="X18" s="9"/>
      <c r="Y18" s="9"/>
    </row>
    <row r="19" spans="1:27" x14ac:dyDescent="0.3">
      <c r="K19" s="49">
        <f>AVERAGE(K15:K16)*1000</f>
        <v>8.9499999999999993</v>
      </c>
      <c r="L19" s="49">
        <f>AVERAGE(L15:L16)*1000</f>
        <v>6.7</v>
      </c>
      <c r="M19" s="49">
        <f>AVERAGE(M15:M16)</f>
        <v>1.4171499999999999</v>
      </c>
      <c r="N19" s="49">
        <f>AVERAGE(N15:N16)</f>
        <v>0.82899999999999996</v>
      </c>
      <c r="O19" s="49">
        <f>AVERAGE(O15:O16)*1000</f>
        <v>-18.8</v>
      </c>
      <c r="P19" s="49">
        <f>AVERAGE(P15:P16)*1000</f>
        <v>59.9</v>
      </c>
      <c r="Q19" s="49">
        <f>AVERAGE(Q15:Q16)</f>
        <v>15.256</v>
      </c>
      <c r="R19" s="49">
        <f>AVERAGE(R15:R16)</f>
        <v>4.1192000000000002</v>
      </c>
      <c r="S19" s="49">
        <f>AVERAGE(S15:S16)*1000</f>
        <v>22.14</v>
      </c>
      <c r="T19" s="49">
        <f>AVERAGE(T15:T16)*1000</f>
        <v>15.5</v>
      </c>
      <c r="U19" s="49">
        <f>AVERAGE(U15:U16)*1000</f>
        <v>16.25</v>
      </c>
      <c r="V19" s="49">
        <f>_xlfn.STDEV.P(U15:U17)*1000</f>
        <v>0.25000000000000022</v>
      </c>
      <c r="X19" s="9"/>
      <c r="Y19" s="9"/>
    </row>
    <row r="20" spans="1:27" x14ac:dyDescent="0.3">
      <c r="X20" s="9"/>
      <c r="Y20" s="9"/>
    </row>
    <row r="21" spans="1:27" x14ac:dyDescent="0.3">
      <c r="X21" s="9"/>
      <c r="Y21" s="9"/>
    </row>
    <row r="22" spans="1:27" x14ac:dyDescent="0.3">
      <c r="X22" s="9"/>
      <c r="Y22" s="9"/>
    </row>
    <row r="23" spans="1:27" x14ac:dyDescent="0.3">
      <c r="X23" s="9"/>
      <c r="Y23" s="9"/>
    </row>
    <row r="24" spans="1:27" x14ac:dyDescent="0.3">
      <c r="A24" s="78"/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X24" s="9"/>
      <c r="Y24" s="9"/>
    </row>
    <row r="25" spans="1:27" x14ac:dyDescent="0.3">
      <c r="X25" s="9"/>
      <c r="Y25" s="9"/>
    </row>
    <row r="26" spans="1:27" x14ac:dyDescent="0.3">
      <c r="X26" s="9"/>
      <c r="Y26" s="9"/>
    </row>
    <row r="27" spans="1:27" x14ac:dyDescent="0.3">
      <c r="W27" s="9"/>
      <c r="X27" s="9"/>
      <c r="Y27" s="9"/>
      <c r="Z27" s="9"/>
      <c r="AA27" s="9"/>
    </row>
    <row r="28" spans="1:27" x14ac:dyDescent="0.3">
      <c r="W28" s="9"/>
      <c r="X28" s="9"/>
      <c r="Y28" s="9"/>
      <c r="Z28" s="9"/>
      <c r="AA28" s="9"/>
    </row>
    <row r="29" spans="1:27" x14ac:dyDescent="0.3">
      <c r="W29" s="9"/>
      <c r="X29" s="9"/>
      <c r="Y29" s="9"/>
      <c r="Z29" s="9"/>
      <c r="AA29" s="9"/>
    </row>
    <row r="30" spans="1:27" x14ac:dyDescent="0.3">
      <c r="W30" s="9"/>
      <c r="X30" s="9"/>
      <c r="Y30" s="9"/>
      <c r="Z30" s="9"/>
      <c r="AA30" s="9"/>
    </row>
    <row r="31" spans="1:27" x14ac:dyDescent="0.3"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9"/>
      <c r="X31" s="9"/>
      <c r="Y31" s="9"/>
      <c r="Z31" s="9"/>
      <c r="AA31" s="9"/>
    </row>
    <row r="32" spans="1:27" x14ac:dyDescent="0.3">
      <c r="W32" s="9"/>
      <c r="X32" s="9"/>
      <c r="Y32" s="9"/>
      <c r="Z32" s="9"/>
      <c r="AA32" s="9"/>
    </row>
    <row r="33" spans="11:27" x14ac:dyDescent="0.3">
      <c r="S33" s="20"/>
      <c r="U33" s="20"/>
      <c r="W33" s="9"/>
      <c r="X33" s="9"/>
      <c r="Y33" s="9"/>
      <c r="Z33" s="9"/>
      <c r="AA33" s="9"/>
    </row>
    <row r="34" spans="11:27" x14ac:dyDescent="0.3">
      <c r="S34" s="20"/>
      <c r="U34" s="20"/>
      <c r="W34" s="9"/>
      <c r="X34" s="9"/>
      <c r="Y34" s="9"/>
      <c r="Z34" s="9"/>
      <c r="AA34" s="9"/>
    </row>
    <row r="35" spans="11:27" x14ac:dyDescent="0.3">
      <c r="S35" s="20"/>
      <c r="U35" s="20"/>
      <c r="W35" s="9"/>
      <c r="X35" s="9"/>
      <c r="Y35" s="9"/>
      <c r="Z35" s="9"/>
      <c r="AA35" s="9"/>
    </row>
    <row r="36" spans="11:27" x14ac:dyDescent="0.3">
      <c r="W36" s="9"/>
      <c r="X36" s="9"/>
      <c r="Y36" s="9"/>
      <c r="Z36" s="9"/>
      <c r="AA36" s="9"/>
    </row>
    <row r="37" spans="11:27" x14ac:dyDescent="0.3"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9"/>
      <c r="X37" s="9"/>
      <c r="Y37" s="9"/>
      <c r="Z37" s="9"/>
      <c r="AA37" s="9"/>
    </row>
    <row r="38" spans="11:27" x14ac:dyDescent="0.3">
      <c r="W38" s="9"/>
      <c r="X38" s="9"/>
      <c r="Y38" s="9"/>
      <c r="Z38" s="9"/>
      <c r="AA38" s="9"/>
    </row>
    <row r="43" spans="11:27" x14ac:dyDescent="0.3"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</row>
  </sheetData>
  <mergeCells count="20">
    <mergeCell ref="F1:G3"/>
    <mergeCell ref="A24:V24"/>
    <mergeCell ref="A1:A3"/>
    <mergeCell ref="K2:L2"/>
    <mergeCell ref="M2:N2"/>
    <mergeCell ref="O2:P2"/>
    <mergeCell ref="Q2:R2"/>
    <mergeCell ref="B1:B3"/>
    <mergeCell ref="C1:C3"/>
    <mergeCell ref="K1:N1"/>
    <mergeCell ref="E1:E3"/>
    <mergeCell ref="D1:D3"/>
    <mergeCell ref="H1:I3"/>
    <mergeCell ref="J1:J3"/>
    <mergeCell ref="Y8:AB8"/>
    <mergeCell ref="Y13:AB13"/>
    <mergeCell ref="S1:T1"/>
    <mergeCell ref="U1:V1"/>
    <mergeCell ref="O1:R1"/>
    <mergeCell ref="W9:X9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9B119-D5E2-4BE6-996A-FBA0D4878312}">
  <dimension ref="A1:K122"/>
  <sheetViews>
    <sheetView topLeftCell="A61" workbookViewId="0">
      <selection activeCell="P85" sqref="P85"/>
    </sheetView>
  </sheetViews>
  <sheetFormatPr defaultRowHeight="14.4" x14ac:dyDescent="0.3"/>
  <cols>
    <col min="2" max="2" width="26.33203125" bestFit="1" customWidth="1"/>
    <col min="3" max="3" width="16.5546875" bestFit="1" customWidth="1"/>
    <col min="4" max="4" width="6" bestFit="1" customWidth="1"/>
    <col min="5" max="5" width="12" bestFit="1" customWidth="1"/>
    <col min="6" max="6" width="9.5546875" bestFit="1" customWidth="1"/>
  </cols>
  <sheetData>
    <row r="1" spans="1:7" x14ac:dyDescent="0.3">
      <c r="A1" s="107" t="s">
        <v>169</v>
      </c>
      <c r="B1" s="54" t="s">
        <v>30</v>
      </c>
      <c r="C1" s="54" t="s">
        <v>131</v>
      </c>
      <c r="D1" s="54" t="s">
        <v>26</v>
      </c>
      <c r="E1" s="54" t="s">
        <v>132</v>
      </c>
      <c r="F1" s="70" t="s">
        <v>183</v>
      </c>
      <c r="G1" s="70" t="s">
        <v>182</v>
      </c>
    </row>
    <row r="2" spans="1:7" x14ac:dyDescent="0.3">
      <c r="A2" s="107"/>
      <c r="B2" s="100" t="s">
        <v>33</v>
      </c>
      <c r="C2" s="54">
        <v>51</v>
      </c>
      <c r="D2" s="54">
        <v>20</v>
      </c>
      <c r="E2" s="55">
        <v>0.31</v>
      </c>
      <c r="F2" s="55"/>
      <c r="G2" s="55">
        <v>0.31</v>
      </c>
    </row>
    <row r="3" spans="1:7" x14ac:dyDescent="0.3">
      <c r="A3" s="107"/>
      <c r="B3" s="100"/>
      <c r="C3" s="54">
        <v>53</v>
      </c>
      <c r="D3" s="54">
        <v>21</v>
      </c>
      <c r="E3" s="55">
        <v>0.27</v>
      </c>
      <c r="F3" s="55"/>
      <c r="G3" s="55">
        <v>0.27</v>
      </c>
    </row>
    <row r="4" spans="1:7" x14ac:dyDescent="0.3">
      <c r="A4" s="107"/>
      <c r="B4" s="100"/>
      <c r="C4" s="54">
        <v>54</v>
      </c>
      <c r="D4" s="54">
        <v>22</v>
      </c>
      <c r="E4" s="55">
        <v>0.25600866850126702</v>
      </c>
      <c r="F4" s="55"/>
      <c r="G4" s="55">
        <v>0.25600866850126702</v>
      </c>
    </row>
    <row r="5" spans="1:7" x14ac:dyDescent="0.3">
      <c r="A5" s="107"/>
      <c r="B5" s="100"/>
      <c r="C5" s="54">
        <v>55</v>
      </c>
      <c r="D5" s="54">
        <v>23</v>
      </c>
      <c r="E5" s="55">
        <v>0.21679421897000001</v>
      </c>
      <c r="F5" s="55"/>
      <c r="G5" s="55">
        <v>0.21679421897000001</v>
      </c>
    </row>
    <row r="6" spans="1:7" x14ac:dyDescent="0.3">
      <c r="A6" s="107"/>
      <c r="B6" s="100"/>
      <c r="C6" s="54">
        <v>55</v>
      </c>
      <c r="D6" s="54">
        <v>24</v>
      </c>
      <c r="E6" s="55">
        <v>0.208496756040388</v>
      </c>
      <c r="F6" s="55"/>
      <c r="G6" s="55">
        <v>0.208496756040388</v>
      </c>
    </row>
    <row r="7" spans="1:7" x14ac:dyDescent="0.3">
      <c r="A7" s="107"/>
      <c r="B7" s="100"/>
      <c r="C7" s="54">
        <v>54</v>
      </c>
      <c r="D7" s="54">
        <v>25</v>
      </c>
      <c r="E7" s="55">
        <v>0.21608672883643901</v>
      </c>
      <c r="F7" s="55"/>
      <c r="G7" s="55">
        <v>0.21608672883643901</v>
      </c>
    </row>
    <row r="8" spans="1:7" x14ac:dyDescent="0.3">
      <c r="A8" s="107"/>
      <c r="B8" s="100"/>
      <c r="C8" s="54">
        <v>54</v>
      </c>
      <c r="D8" s="54">
        <v>26</v>
      </c>
      <c r="E8" s="55">
        <v>0.22952269906821801</v>
      </c>
      <c r="F8" s="55"/>
      <c r="G8" s="55">
        <v>0.22952269906821801</v>
      </c>
    </row>
    <row r="9" spans="1:7" x14ac:dyDescent="0.3">
      <c r="A9" s="107"/>
      <c r="B9" s="100"/>
      <c r="C9" s="54">
        <v>54</v>
      </c>
      <c r="D9" s="54">
        <v>27</v>
      </c>
      <c r="E9" s="55">
        <v>0.24496620973229</v>
      </c>
      <c r="F9" s="55"/>
      <c r="G9" s="55">
        <v>0.24496620973229</v>
      </c>
    </row>
    <row r="10" spans="1:7" x14ac:dyDescent="0.3">
      <c r="A10" s="107"/>
      <c r="B10" s="100"/>
      <c r="C10" s="54">
        <v>54</v>
      </c>
      <c r="D10" s="54">
        <v>28</v>
      </c>
      <c r="E10" s="55">
        <v>0.26640089055105798</v>
      </c>
      <c r="F10" s="55"/>
      <c r="G10" s="55">
        <v>0.26640089055105798</v>
      </c>
    </row>
    <row r="11" spans="1:7" x14ac:dyDescent="0.3">
      <c r="A11" s="107"/>
      <c r="B11" s="100"/>
      <c r="C11" s="54">
        <v>54</v>
      </c>
      <c r="D11" s="54">
        <v>29</v>
      </c>
      <c r="E11" s="55">
        <v>0.29397916260768298</v>
      </c>
      <c r="F11" s="55"/>
      <c r="G11" s="55">
        <v>0.29397916260768298</v>
      </c>
    </row>
    <row r="12" spans="1:7" x14ac:dyDescent="0.3">
      <c r="A12" s="107"/>
      <c r="B12" s="100" t="s">
        <v>32</v>
      </c>
      <c r="C12" s="54">
        <v>51</v>
      </c>
      <c r="D12" s="54">
        <v>20</v>
      </c>
      <c r="E12" s="55">
        <v>0.30599999999999999</v>
      </c>
      <c r="F12" s="55"/>
      <c r="G12" s="55">
        <v>0.30599999999999999</v>
      </c>
    </row>
    <row r="13" spans="1:7" x14ac:dyDescent="0.3">
      <c r="A13" s="107"/>
      <c r="B13" s="100"/>
      <c r="C13" s="54">
        <v>51</v>
      </c>
      <c r="D13" s="54">
        <v>21</v>
      </c>
      <c r="E13" s="55">
        <v>0.26443484277031598</v>
      </c>
      <c r="F13" s="55"/>
      <c r="G13" s="55">
        <v>0.26443484277031598</v>
      </c>
    </row>
    <row r="14" spans="1:7" x14ac:dyDescent="0.3">
      <c r="A14" s="107"/>
      <c r="B14" s="100"/>
      <c r="C14" s="54">
        <v>52</v>
      </c>
      <c r="D14" s="54">
        <v>22</v>
      </c>
      <c r="E14" s="55">
        <v>0.255297728955165</v>
      </c>
      <c r="F14" s="55"/>
      <c r="G14" s="55">
        <v>0.255297728955165</v>
      </c>
    </row>
    <row r="15" spans="1:7" x14ac:dyDescent="0.3">
      <c r="A15" s="107"/>
      <c r="B15" s="100"/>
      <c r="C15" s="54">
        <v>52</v>
      </c>
      <c r="D15" s="54">
        <v>23</v>
      </c>
      <c r="E15" s="55">
        <v>0.22588831543812099</v>
      </c>
      <c r="F15" s="55"/>
      <c r="G15" s="55">
        <v>0.22436411976523701</v>
      </c>
    </row>
    <row r="16" spans="1:7" x14ac:dyDescent="0.3">
      <c r="A16" s="107"/>
      <c r="B16" s="100"/>
      <c r="C16" s="54">
        <v>52</v>
      </c>
      <c r="D16" s="54">
        <v>24</v>
      </c>
      <c r="E16" s="55">
        <v>0.22436411976523701</v>
      </c>
      <c r="F16" s="55"/>
      <c r="G16" s="55">
        <v>0.22588831543812099</v>
      </c>
    </row>
    <row r="17" spans="1:7" x14ac:dyDescent="0.3">
      <c r="A17" s="107"/>
      <c r="B17" s="100"/>
      <c r="C17" s="54">
        <v>52</v>
      </c>
      <c r="D17" s="54">
        <v>25</v>
      </c>
      <c r="E17" s="55">
        <v>0.23367483266123901</v>
      </c>
      <c r="F17" s="55"/>
      <c r="G17" s="55">
        <v>0.23367483266123901</v>
      </c>
    </row>
    <row r="18" spans="1:7" x14ac:dyDescent="0.3">
      <c r="A18" s="107"/>
      <c r="B18" s="100"/>
      <c r="C18" s="54">
        <v>52</v>
      </c>
      <c r="D18" s="54">
        <v>26</v>
      </c>
      <c r="E18" s="55">
        <v>0.24741037439084401</v>
      </c>
      <c r="F18" s="55"/>
      <c r="G18" s="55">
        <v>0.24741037439084401</v>
      </c>
    </row>
    <row r="19" spans="1:7" x14ac:dyDescent="0.3">
      <c r="A19" s="107"/>
      <c r="B19" s="100"/>
      <c r="C19" s="54">
        <v>52</v>
      </c>
      <c r="D19" s="54">
        <v>27</v>
      </c>
      <c r="E19" s="55">
        <v>0.26697634598290698</v>
      </c>
      <c r="F19" s="55"/>
      <c r="G19" s="55">
        <v>0.26697634598290698</v>
      </c>
    </row>
    <row r="20" spans="1:7" x14ac:dyDescent="0.3">
      <c r="A20" s="107"/>
      <c r="B20" s="100"/>
      <c r="C20" s="54">
        <v>52</v>
      </c>
      <c r="D20" s="54">
        <v>28</v>
      </c>
      <c r="E20" s="55">
        <v>0.29292462407832598</v>
      </c>
      <c r="F20" s="55"/>
      <c r="G20" s="55">
        <v>0.29292462407832598</v>
      </c>
    </row>
    <row r="21" spans="1:7" x14ac:dyDescent="0.3">
      <c r="A21" s="107"/>
      <c r="B21" s="100"/>
      <c r="C21" s="54">
        <v>50</v>
      </c>
      <c r="D21" s="54">
        <v>29</v>
      </c>
      <c r="E21" s="55">
        <v>0.30099999999999999</v>
      </c>
      <c r="F21" s="55"/>
      <c r="G21" s="55">
        <v>0.30099999999999999</v>
      </c>
    </row>
    <row r="22" spans="1:7" x14ac:dyDescent="0.3">
      <c r="A22" s="107"/>
      <c r="B22" s="100" t="s">
        <v>133</v>
      </c>
      <c r="C22" s="54">
        <v>21</v>
      </c>
      <c r="D22" s="54">
        <v>20</v>
      </c>
      <c r="E22" s="55">
        <v>0.108555885773802</v>
      </c>
      <c r="F22" s="55"/>
      <c r="G22" s="55">
        <v>0.108555885773802</v>
      </c>
    </row>
    <row r="23" spans="1:7" x14ac:dyDescent="0.3">
      <c r="A23" s="107"/>
      <c r="B23" s="100"/>
      <c r="C23" s="54">
        <v>21</v>
      </c>
      <c r="D23" s="54">
        <v>21</v>
      </c>
      <c r="E23" s="55">
        <v>9.8634608214846903E-2</v>
      </c>
      <c r="F23" s="55"/>
      <c r="G23" s="55">
        <v>9.8634608214846903E-2</v>
      </c>
    </row>
    <row r="24" spans="1:7" x14ac:dyDescent="0.3">
      <c r="A24" s="107"/>
      <c r="B24" s="100"/>
      <c r="C24" s="54">
        <v>21</v>
      </c>
      <c r="D24" s="54">
        <v>22</v>
      </c>
      <c r="E24" s="55">
        <v>9.12907582546989E-2</v>
      </c>
      <c r="F24" s="55"/>
      <c r="G24" s="55">
        <v>9.12907582546989E-2</v>
      </c>
    </row>
    <row r="25" spans="1:7" x14ac:dyDescent="0.3">
      <c r="A25" s="107"/>
      <c r="B25" s="100"/>
      <c r="C25" s="54">
        <v>21</v>
      </c>
      <c r="D25" s="54">
        <v>23</v>
      </c>
      <c r="E25" s="55">
        <v>8.6524723288258096E-2</v>
      </c>
      <c r="F25" s="20"/>
      <c r="G25" s="55">
        <v>8.6524723288258096E-2</v>
      </c>
    </row>
    <row r="26" spans="1:7" x14ac:dyDescent="0.3">
      <c r="A26" s="107"/>
      <c r="B26" s="100"/>
      <c r="C26" s="54">
        <v>21</v>
      </c>
      <c r="D26" s="54">
        <v>24</v>
      </c>
      <c r="E26" s="55">
        <v>8.4428117524543905E-2</v>
      </c>
      <c r="F26" s="20"/>
      <c r="G26" s="55">
        <v>8.42281175245439E-2</v>
      </c>
    </row>
    <row r="27" spans="1:7" x14ac:dyDescent="0.3">
      <c r="A27" s="107"/>
      <c r="B27" s="100"/>
      <c r="C27" s="54">
        <v>21</v>
      </c>
      <c r="D27" s="54">
        <v>25</v>
      </c>
      <c r="E27" s="55">
        <v>8.3388534139445997E-2</v>
      </c>
      <c r="F27" s="20"/>
      <c r="G27" s="55">
        <v>8.4388534139445998E-2</v>
      </c>
    </row>
    <row r="28" spans="1:7" x14ac:dyDescent="0.3">
      <c r="A28" s="107"/>
      <c r="B28" s="100"/>
      <c r="C28" s="54">
        <v>21</v>
      </c>
      <c r="D28" s="54">
        <v>26</v>
      </c>
      <c r="E28" s="55">
        <v>8.7042729925813994E-2</v>
      </c>
      <c r="F28" s="20"/>
      <c r="G28" s="55">
        <v>8.7042729925813994E-2</v>
      </c>
    </row>
    <row r="29" spans="1:7" x14ac:dyDescent="0.3">
      <c r="A29" s="107"/>
      <c r="B29" s="100"/>
      <c r="C29" s="54">
        <v>21</v>
      </c>
      <c r="D29" s="54">
        <v>27</v>
      </c>
      <c r="E29" s="55">
        <v>9.21198921154191E-2</v>
      </c>
      <c r="F29" s="20"/>
      <c r="G29" s="55">
        <v>9.21198921154191E-2</v>
      </c>
    </row>
    <row r="30" spans="1:7" x14ac:dyDescent="0.3">
      <c r="A30" s="107"/>
      <c r="B30" s="100"/>
      <c r="C30" s="54">
        <v>21</v>
      </c>
      <c r="D30" s="54">
        <v>28</v>
      </c>
      <c r="E30" s="55">
        <v>9.9769548548391401E-2</v>
      </c>
      <c r="F30" s="20"/>
      <c r="G30" s="55">
        <v>9.9769548548391401E-2</v>
      </c>
    </row>
    <row r="31" spans="1:7" x14ac:dyDescent="0.3">
      <c r="A31" s="107"/>
      <c r="B31" s="100"/>
      <c r="C31" s="54">
        <v>21</v>
      </c>
      <c r="D31" s="54">
        <v>29</v>
      </c>
      <c r="E31" s="55">
        <v>0.10990094706051599</v>
      </c>
      <c r="F31" s="20"/>
      <c r="G31" s="55">
        <v>0.10990094706051599</v>
      </c>
    </row>
    <row r="32" spans="1:7" x14ac:dyDescent="0.3">
      <c r="A32" s="107"/>
      <c r="B32" s="100" t="s">
        <v>35</v>
      </c>
      <c r="C32" s="54">
        <v>19</v>
      </c>
      <c r="D32" s="54">
        <v>20</v>
      </c>
      <c r="E32" s="55">
        <v>9.1784410791082793E-2</v>
      </c>
      <c r="F32" s="55"/>
      <c r="G32" s="55">
        <v>0.120864439067163</v>
      </c>
    </row>
    <row r="33" spans="1:7" x14ac:dyDescent="0.3">
      <c r="A33" s="107"/>
      <c r="B33" s="100"/>
      <c r="C33" s="54">
        <v>19</v>
      </c>
      <c r="D33" s="54">
        <v>21</v>
      </c>
      <c r="E33" s="55">
        <v>8.5070877336910197E-2</v>
      </c>
      <c r="F33" s="55"/>
      <c r="G33" s="55">
        <v>9.1784410791082793E-2</v>
      </c>
    </row>
    <row r="34" spans="1:7" x14ac:dyDescent="0.3">
      <c r="A34" s="107"/>
      <c r="B34" s="100"/>
      <c r="C34" s="54">
        <v>19</v>
      </c>
      <c r="D34" s="54">
        <v>22</v>
      </c>
      <c r="E34" s="55">
        <v>8.08433870168834E-2</v>
      </c>
      <c r="F34" s="55"/>
      <c r="G34" s="55">
        <v>8.5070877336910197E-2</v>
      </c>
    </row>
    <row r="35" spans="1:7" x14ac:dyDescent="0.3">
      <c r="A35" s="107"/>
      <c r="B35" s="100"/>
      <c r="C35" s="54">
        <v>19</v>
      </c>
      <c r="D35" s="54">
        <v>23</v>
      </c>
      <c r="E35" s="55">
        <v>7.9102157921646599E-2</v>
      </c>
      <c r="F35" s="55"/>
      <c r="G35" s="55">
        <v>8.08433870168834E-2</v>
      </c>
    </row>
    <row r="36" spans="1:7" x14ac:dyDescent="0.3">
      <c r="A36" s="107"/>
      <c r="B36" s="100"/>
      <c r="C36" s="54">
        <v>19</v>
      </c>
      <c r="D36" s="54">
        <v>24</v>
      </c>
      <c r="E36" s="55">
        <v>7.9847097809047501E-2</v>
      </c>
      <c r="F36" s="55"/>
      <c r="G36" s="55">
        <v>7.9102157921646599E-2</v>
      </c>
    </row>
    <row r="37" spans="1:7" x14ac:dyDescent="0.3">
      <c r="A37" s="107"/>
      <c r="B37" s="100"/>
      <c r="C37" s="54">
        <v>19</v>
      </c>
      <c r="D37" s="54">
        <v>25</v>
      </c>
      <c r="E37" s="55">
        <v>8.3078190637318999E-2</v>
      </c>
      <c r="F37" s="55"/>
      <c r="G37" s="55">
        <v>7.9847097809047501E-2</v>
      </c>
    </row>
    <row r="38" spans="1:7" x14ac:dyDescent="0.3">
      <c r="A38" s="107"/>
      <c r="B38" s="100"/>
      <c r="C38" s="54">
        <v>19</v>
      </c>
      <c r="D38" s="54">
        <v>26</v>
      </c>
      <c r="E38" s="55">
        <v>8.8795419590675106E-2</v>
      </c>
      <c r="F38" s="55"/>
      <c r="G38" s="55">
        <v>8.3078190637318999E-2</v>
      </c>
    </row>
    <row r="39" spans="1:7" x14ac:dyDescent="0.3">
      <c r="A39" s="107"/>
      <c r="B39" s="100"/>
      <c r="C39" s="54">
        <v>19</v>
      </c>
      <c r="D39" s="54">
        <v>27</v>
      </c>
      <c r="E39" s="55">
        <v>9.6998937949272002E-2</v>
      </c>
      <c r="F39" s="55"/>
      <c r="G39" s="55">
        <v>8.8795419590675106E-2</v>
      </c>
    </row>
    <row r="40" spans="1:7" x14ac:dyDescent="0.3">
      <c r="A40" s="107"/>
      <c r="B40" s="100"/>
      <c r="C40" s="54">
        <v>19</v>
      </c>
      <c r="D40" s="54">
        <v>28</v>
      </c>
      <c r="E40" s="55">
        <v>0.107688511075029</v>
      </c>
      <c r="F40" s="55"/>
      <c r="G40" s="55">
        <v>9.6998937949272002E-2</v>
      </c>
    </row>
    <row r="41" spans="1:7" x14ac:dyDescent="0.3">
      <c r="A41" s="107"/>
      <c r="B41" s="100"/>
      <c r="C41" s="54">
        <v>19</v>
      </c>
      <c r="D41" s="54">
        <v>29</v>
      </c>
      <c r="E41" s="55">
        <v>0.120864439067163</v>
      </c>
      <c r="F41" s="55"/>
      <c r="G41" s="55">
        <v>0.120864439067163</v>
      </c>
    </row>
    <row r="42" spans="1:7" x14ac:dyDescent="0.3">
      <c r="A42" s="107"/>
      <c r="B42" s="100" t="s">
        <v>76</v>
      </c>
      <c r="C42" s="54">
        <v>19</v>
      </c>
      <c r="D42" s="54">
        <v>20</v>
      </c>
      <c r="E42" s="55">
        <v>8.3579506145603499E-2</v>
      </c>
      <c r="F42" s="55"/>
      <c r="G42" s="55">
        <v>0.12967546313176301</v>
      </c>
    </row>
    <row r="43" spans="1:7" x14ac:dyDescent="0.3">
      <c r="A43" s="107"/>
      <c r="B43" s="100"/>
      <c r="C43" s="54">
        <v>19</v>
      </c>
      <c r="D43" s="54">
        <v>21</v>
      </c>
      <c r="E43" s="55">
        <v>7.9624874705246304E-2</v>
      </c>
      <c r="F43" s="55"/>
      <c r="G43" s="55">
        <v>0.115763262480788</v>
      </c>
    </row>
    <row r="44" spans="1:7" x14ac:dyDescent="0.3">
      <c r="A44" s="107"/>
      <c r="B44" s="100"/>
      <c r="C44" s="54">
        <v>19</v>
      </c>
      <c r="D44" s="54">
        <v>22</v>
      </c>
      <c r="E44" s="55">
        <v>7.7995056822209904E-2</v>
      </c>
      <c r="F44" s="55"/>
      <c r="G44" s="55">
        <v>8.3579506145603499E-2</v>
      </c>
    </row>
    <row r="45" spans="1:7" x14ac:dyDescent="0.3">
      <c r="A45" s="107"/>
      <c r="B45" s="100"/>
      <c r="C45" s="54">
        <v>19</v>
      </c>
      <c r="D45" s="54">
        <v>23</v>
      </c>
      <c r="E45" s="55">
        <v>7.8654544664583506E-2</v>
      </c>
      <c r="F45" s="55"/>
      <c r="G45" s="55">
        <v>7.9624874705246304E-2</v>
      </c>
    </row>
    <row r="46" spans="1:7" x14ac:dyDescent="0.3">
      <c r="A46" s="107"/>
      <c r="B46" s="100"/>
      <c r="C46" s="54">
        <v>19</v>
      </c>
      <c r="D46" s="54">
        <v>24</v>
      </c>
      <c r="E46" s="55">
        <v>8.1558958724039607E-2</v>
      </c>
      <c r="F46" s="55"/>
      <c r="G46" s="55">
        <v>7.7995056822209904E-2</v>
      </c>
    </row>
    <row r="47" spans="1:7" x14ac:dyDescent="0.3">
      <c r="A47" s="107"/>
      <c r="B47" s="100"/>
      <c r="C47" s="54">
        <v>19</v>
      </c>
      <c r="D47" s="54">
        <v>25</v>
      </c>
      <c r="E47" s="55">
        <v>8.67995511178523E-2</v>
      </c>
      <c r="F47" s="55"/>
      <c r="G47" s="55">
        <v>7.8654544664583506E-2</v>
      </c>
    </row>
    <row r="48" spans="1:7" x14ac:dyDescent="0.3">
      <c r="A48" s="107"/>
      <c r="B48" s="100"/>
      <c r="C48" s="54">
        <v>19</v>
      </c>
      <c r="D48" s="54">
        <v>26</v>
      </c>
      <c r="E48" s="55">
        <v>9.4353493542190303E-2</v>
      </c>
      <c r="F48" s="55"/>
      <c r="G48" s="55">
        <v>8.1558958724039607E-2</v>
      </c>
    </row>
    <row r="49" spans="1:11" x14ac:dyDescent="0.3">
      <c r="A49" s="107"/>
      <c r="B49" s="100"/>
      <c r="C49" s="54">
        <v>19</v>
      </c>
      <c r="D49" s="54">
        <v>27</v>
      </c>
      <c r="E49" s="55">
        <v>0.10405157963412499</v>
      </c>
      <c r="F49" s="55"/>
      <c r="G49" s="55">
        <v>8.67995511178523E-2</v>
      </c>
    </row>
    <row r="50" spans="1:11" x14ac:dyDescent="0.3">
      <c r="A50" s="107"/>
      <c r="B50" s="100"/>
      <c r="C50" s="54">
        <v>19</v>
      </c>
      <c r="D50" s="54">
        <v>28</v>
      </c>
      <c r="E50" s="55">
        <v>0.115763262480788</v>
      </c>
      <c r="F50" s="55"/>
      <c r="G50" s="55">
        <v>9.4353493542190303E-2</v>
      </c>
    </row>
    <row r="51" spans="1:11" x14ac:dyDescent="0.3">
      <c r="A51" s="107"/>
      <c r="B51" s="100"/>
      <c r="C51" s="54">
        <v>19</v>
      </c>
      <c r="D51" s="54">
        <v>29</v>
      </c>
      <c r="E51" s="55">
        <v>0.12967546313176301</v>
      </c>
      <c r="F51" s="55"/>
      <c r="G51" s="55">
        <v>0.10405157963412499</v>
      </c>
    </row>
    <row r="52" spans="1:11" x14ac:dyDescent="0.3">
      <c r="A52" s="107"/>
      <c r="B52" s="100" t="s">
        <v>75</v>
      </c>
      <c r="C52" s="53">
        <v>17</v>
      </c>
      <c r="D52" s="54">
        <v>20</v>
      </c>
      <c r="E52" s="55">
        <v>9.6843909839325601E-2</v>
      </c>
      <c r="F52" s="55"/>
      <c r="G52" s="55">
        <v>9.6843909839325601E-2</v>
      </c>
    </row>
    <row r="53" spans="1:11" x14ac:dyDescent="0.3">
      <c r="A53" s="107"/>
      <c r="B53" s="100"/>
      <c r="C53" s="53">
        <v>17</v>
      </c>
      <c r="D53" s="54">
        <v>21</v>
      </c>
      <c r="E53" s="55">
        <v>9.0395418700083593E-2</v>
      </c>
      <c r="F53" s="55"/>
      <c r="G53" s="55">
        <v>9.0395418700083593E-2</v>
      </c>
    </row>
    <row r="54" spans="1:11" x14ac:dyDescent="0.3">
      <c r="A54" s="107"/>
      <c r="B54" s="100"/>
      <c r="C54" s="53">
        <v>17</v>
      </c>
      <c r="D54" s="54">
        <v>22</v>
      </c>
      <c r="E54" s="55">
        <v>8.6295764530462796E-2</v>
      </c>
      <c r="F54" s="55"/>
      <c r="G54" s="55">
        <v>8.6295764530462796E-2</v>
      </c>
    </row>
    <row r="55" spans="1:11" x14ac:dyDescent="0.3">
      <c r="A55" s="107"/>
      <c r="B55" s="100"/>
      <c r="C55" s="53">
        <v>17</v>
      </c>
      <c r="D55" s="54">
        <v>23</v>
      </c>
      <c r="E55" s="55">
        <v>8.4411674878107398E-2</v>
      </c>
      <c r="F55" s="55"/>
      <c r="G55" s="55">
        <v>8.4411674878107398E-2</v>
      </c>
    </row>
    <row r="56" spans="1:11" x14ac:dyDescent="0.3">
      <c r="A56" s="107"/>
      <c r="B56" s="100"/>
      <c r="C56" s="53">
        <v>17</v>
      </c>
      <c r="D56" s="54">
        <v>24</v>
      </c>
      <c r="E56" s="55">
        <v>8.4941329892356601E-2</v>
      </c>
      <c r="F56" s="55"/>
      <c r="G56" s="55">
        <v>8.4941329892356601E-2</v>
      </c>
    </row>
    <row r="57" spans="1:11" x14ac:dyDescent="0.3">
      <c r="A57" s="107"/>
      <c r="B57" s="100"/>
      <c r="C57" s="53">
        <v>17</v>
      </c>
      <c r="D57" s="54">
        <v>25</v>
      </c>
      <c r="E57" s="55">
        <v>0.09</v>
      </c>
      <c r="F57" s="55"/>
      <c r="G57" s="55">
        <v>0.09</v>
      </c>
    </row>
    <row r="58" spans="1:11" x14ac:dyDescent="0.3">
      <c r="A58" s="107"/>
      <c r="B58" s="100"/>
      <c r="C58" s="53">
        <v>17</v>
      </c>
      <c r="D58" s="54">
        <v>26</v>
      </c>
      <c r="E58" s="55">
        <v>0.105712112961419</v>
      </c>
      <c r="F58" s="55"/>
      <c r="G58" s="55">
        <v>0.105712112961419</v>
      </c>
    </row>
    <row r="59" spans="1:11" x14ac:dyDescent="0.3">
      <c r="A59" s="107"/>
      <c r="B59" s="100"/>
      <c r="C59" s="53">
        <v>17</v>
      </c>
      <c r="D59" s="54">
        <v>27</v>
      </c>
      <c r="E59" s="55">
        <v>0.116999562115206</v>
      </c>
      <c r="F59" s="55"/>
      <c r="G59" s="55">
        <v>0.116999562115206</v>
      </c>
    </row>
    <row r="60" spans="1:11" x14ac:dyDescent="0.3">
      <c r="A60" s="107"/>
      <c r="B60" s="100"/>
      <c r="C60" s="53">
        <v>17</v>
      </c>
      <c r="D60" s="54">
        <v>28</v>
      </c>
      <c r="E60" s="55">
        <v>0.126</v>
      </c>
      <c r="F60" s="55"/>
      <c r="G60" s="55">
        <v>0.126</v>
      </c>
    </row>
    <row r="61" spans="1:11" x14ac:dyDescent="0.3">
      <c r="A61" s="107"/>
      <c r="B61" s="100"/>
      <c r="C61" s="53">
        <v>17</v>
      </c>
      <c r="D61" s="54">
        <v>29</v>
      </c>
      <c r="E61" s="55">
        <v>0.13400000000000001</v>
      </c>
      <c r="F61" s="55"/>
      <c r="G61" s="55">
        <v>0.13400000000000001</v>
      </c>
    </row>
    <row r="62" spans="1:11" x14ac:dyDescent="0.3">
      <c r="B62" s="78" t="s">
        <v>159</v>
      </c>
      <c r="C62" s="78"/>
      <c r="D62" s="78"/>
      <c r="E62" s="78"/>
      <c r="F62" s="78"/>
      <c r="G62" s="78"/>
      <c r="H62" s="78"/>
      <c r="I62" s="78"/>
      <c r="J62" s="78"/>
      <c r="K62" s="78"/>
    </row>
    <row r="63" spans="1:11" x14ac:dyDescent="0.3">
      <c r="B63" s="107" t="s">
        <v>160</v>
      </c>
      <c r="C63" s="69"/>
      <c r="D63" s="69">
        <v>20</v>
      </c>
      <c r="E63" s="20">
        <v>0.56924840913026198</v>
      </c>
      <c r="F63" s="20"/>
    </row>
    <row r="64" spans="1:11" x14ac:dyDescent="0.3">
      <c r="B64" s="107"/>
      <c r="C64" s="69"/>
      <c r="D64" s="69">
        <v>21</v>
      </c>
      <c r="E64" s="20">
        <v>0.56634612637312198</v>
      </c>
      <c r="F64" s="20"/>
    </row>
    <row r="65" spans="2:6" x14ac:dyDescent="0.3">
      <c r="B65" s="107"/>
      <c r="C65" s="69"/>
      <c r="D65" s="69">
        <v>22</v>
      </c>
      <c r="E65" s="20">
        <v>0.57651939570741895</v>
      </c>
      <c r="F65" s="20"/>
    </row>
    <row r="66" spans="2:6" x14ac:dyDescent="0.3">
      <c r="B66" s="107"/>
      <c r="C66" s="69"/>
      <c r="D66" s="69">
        <v>23</v>
      </c>
      <c r="E66" s="20">
        <v>0.60275664191749001</v>
      </c>
      <c r="F66" s="20"/>
    </row>
    <row r="67" spans="2:6" x14ac:dyDescent="0.3">
      <c r="B67" s="107"/>
      <c r="C67" s="69"/>
      <c r="D67" s="69">
        <v>24</v>
      </c>
      <c r="E67" s="20">
        <v>0.58834376337415195</v>
      </c>
      <c r="F67" s="20"/>
    </row>
    <row r="68" spans="2:6" x14ac:dyDescent="0.3">
      <c r="B68" s="107"/>
      <c r="C68" s="69"/>
      <c r="D68" s="69">
        <v>25</v>
      </c>
      <c r="E68" s="20">
        <v>0.60500417325362899</v>
      </c>
      <c r="F68" s="20"/>
    </row>
    <row r="69" spans="2:6" x14ac:dyDescent="0.3">
      <c r="B69" s="107"/>
      <c r="C69" s="69"/>
      <c r="D69" s="69">
        <v>26</v>
      </c>
      <c r="E69" s="20">
        <v>0.60673558067520095</v>
      </c>
      <c r="F69" s="20"/>
    </row>
    <row r="70" spans="2:6" x14ac:dyDescent="0.3">
      <c r="B70" s="107"/>
      <c r="C70" s="69"/>
      <c r="D70" s="69">
        <v>27</v>
      </c>
      <c r="E70" s="20">
        <v>0.61270719383398897</v>
      </c>
      <c r="F70" s="20"/>
    </row>
    <row r="71" spans="2:6" x14ac:dyDescent="0.3">
      <c r="B71" s="107"/>
      <c r="C71" s="69"/>
      <c r="D71" s="69">
        <v>28</v>
      </c>
      <c r="E71" s="20">
        <v>0.62475315070563797</v>
      </c>
      <c r="F71" s="20"/>
    </row>
    <row r="72" spans="2:6" x14ac:dyDescent="0.3">
      <c r="B72" s="107"/>
      <c r="C72" s="69"/>
      <c r="D72" s="69">
        <v>29</v>
      </c>
      <c r="E72" s="20">
        <v>0.63256245871877903</v>
      </c>
      <c r="F72" s="20"/>
    </row>
    <row r="73" spans="2:6" x14ac:dyDescent="0.3">
      <c r="B73" s="107" t="s">
        <v>161</v>
      </c>
      <c r="C73" s="69"/>
      <c r="D73" s="69">
        <v>20</v>
      </c>
    </row>
    <row r="74" spans="2:6" x14ac:dyDescent="0.3">
      <c r="B74" s="107"/>
      <c r="C74" s="69"/>
      <c r="D74" s="69">
        <v>21</v>
      </c>
    </row>
    <row r="75" spans="2:6" x14ac:dyDescent="0.3">
      <c r="B75" s="107"/>
      <c r="C75" s="69"/>
      <c r="D75" s="69">
        <v>22</v>
      </c>
    </row>
    <row r="76" spans="2:6" x14ac:dyDescent="0.3">
      <c r="B76" s="107"/>
      <c r="C76" s="69"/>
      <c r="D76" s="69">
        <v>23</v>
      </c>
    </row>
    <row r="77" spans="2:6" x14ac:dyDescent="0.3">
      <c r="B77" s="107"/>
      <c r="C77" s="69"/>
      <c r="D77" s="69">
        <v>24</v>
      </c>
    </row>
    <row r="78" spans="2:6" x14ac:dyDescent="0.3">
      <c r="B78" s="107"/>
      <c r="C78" s="69"/>
      <c r="D78" s="69">
        <v>25</v>
      </c>
    </row>
    <row r="79" spans="2:6" x14ac:dyDescent="0.3">
      <c r="B79" s="107"/>
      <c r="C79" s="69"/>
      <c r="D79" s="69">
        <v>26</v>
      </c>
    </row>
    <row r="80" spans="2:6" x14ac:dyDescent="0.3">
      <c r="B80" s="107"/>
      <c r="C80" s="69"/>
      <c r="D80" s="69">
        <v>27</v>
      </c>
    </row>
    <row r="81" spans="2:5" x14ac:dyDescent="0.3">
      <c r="B81" s="107"/>
      <c r="C81" s="69"/>
      <c r="D81" s="69">
        <v>28</v>
      </c>
    </row>
    <row r="82" spans="2:5" x14ac:dyDescent="0.3">
      <c r="B82" s="107"/>
      <c r="C82" s="69"/>
      <c r="D82" s="69">
        <v>29</v>
      </c>
    </row>
    <row r="83" spans="2:5" x14ac:dyDescent="0.3">
      <c r="B83" s="107" t="s">
        <v>133</v>
      </c>
      <c r="C83" s="69"/>
      <c r="D83" s="69">
        <v>20</v>
      </c>
      <c r="E83" s="20">
        <v>0.60851742237839401</v>
      </c>
    </row>
    <row r="84" spans="2:5" x14ac:dyDescent="0.3">
      <c r="B84" s="107"/>
      <c r="C84" s="69"/>
      <c r="D84" s="69">
        <v>21</v>
      </c>
      <c r="E84" s="20">
        <v>0.59646874089892798</v>
      </c>
    </row>
    <row r="85" spans="2:5" x14ac:dyDescent="0.3">
      <c r="B85" s="107"/>
      <c r="C85" s="69"/>
      <c r="D85" s="69">
        <v>22</v>
      </c>
      <c r="E85" s="20">
        <v>0.59769653952101998</v>
      </c>
    </row>
    <row r="86" spans="2:5" x14ac:dyDescent="0.3">
      <c r="B86" s="107"/>
      <c r="C86" s="69"/>
      <c r="D86" s="69">
        <v>23</v>
      </c>
      <c r="E86" s="20">
        <v>0.59961270328109595</v>
      </c>
    </row>
    <row r="87" spans="2:5" x14ac:dyDescent="0.3">
      <c r="B87" s="107"/>
      <c r="C87" s="69"/>
      <c r="D87" s="69">
        <v>24</v>
      </c>
      <c r="E87" s="20">
        <v>0.61598138089942001</v>
      </c>
    </row>
    <row r="88" spans="2:5" x14ac:dyDescent="0.3">
      <c r="B88" s="107"/>
      <c r="C88" s="69"/>
      <c r="D88" s="69">
        <v>25</v>
      </c>
      <c r="E88" s="20">
        <v>0.60400511385492195</v>
      </c>
    </row>
    <row r="89" spans="2:5" x14ac:dyDescent="0.3">
      <c r="B89" s="107"/>
      <c r="C89" s="69"/>
      <c r="D89" s="69">
        <v>26</v>
      </c>
      <c r="E89" s="20">
        <v>0.62945438714257496</v>
      </c>
    </row>
    <row r="90" spans="2:5" x14ac:dyDescent="0.3">
      <c r="B90" s="107"/>
      <c r="C90" s="69"/>
      <c r="D90" s="69">
        <v>27</v>
      </c>
      <c r="E90" s="20">
        <v>0.60982979098455203</v>
      </c>
    </row>
    <row r="91" spans="2:5" x14ac:dyDescent="0.3">
      <c r="B91" s="107"/>
      <c r="C91" s="69"/>
      <c r="D91" s="69">
        <v>28</v>
      </c>
      <c r="E91" s="20">
        <v>0.61814884739920894</v>
      </c>
    </row>
    <row r="92" spans="2:5" x14ac:dyDescent="0.3">
      <c r="B92" s="107"/>
      <c r="C92" s="69"/>
      <c r="D92" s="69">
        <v>29</v>
      </c>
      <c r="E92" s="20">
        <v>0.61708508473019297</v>
      </c>
    </row>
    <row r="93" spans="2:5" x14ac:dyDescent="0.3">
      <c r="B93" s="107" t="s">
        <v>162</v>
      </c>
      <c r="C93" s="69"/>
      <c r="D93" s="69">
        <v>20</v>
      </c>
      <c r="E93" s="20">
        <v>0.12036195111081401</v>
      </c>
    </row>
    <row r="94" spans="2:5" x14ac:dyDescent="0.3">
      <c r="B94" s="107"/>
      <c r="C94" s="69"/>
      <c r="D94" s="69">
        <v>21</v>
      </c>
      <c r="E94" s="20">
        <v>0.125282871841182</v>
      </c>
    </row>
    <row r="95" spans="2:5" x14ac:dyDescent="0.3">
      <c r="B95" s="107"/>
      <c r="C95" s="69"/>
      <c r="D95" s="69">
        <v>22</v>
      </c>
      <c r="E95" s="20">
        <v>0.12921499945822401</v>
      </c>
    </row>
    <row r="96" spans="2:5" x14ac:dyDescent="0.3">
      <c r="B96" s="107"/>
      <c r="C96" s="69"/>
      <c r="D96" s="69">
        <v>23</v>
      </c>
      <c r="E96" s="20">
        <v>0.13583522960519701</v>
      </c>
    </row>
    <row r="97" spans="2:5" x14ac:dyDescent="0.3">
      <c r="B97" s="107"/>
      <c r="C97" s="69"/>
      <c r="D97" s="69">
        <v>24</v>
      </c>
      <c r="E97" s="20">
        <v>0.14261783662844599</v>
      </c>
    </row>
    <row r="98" spans="2:5" x14ac:dyDescent="0.3">
      <c r="B98" s="107"/>
      <c r="C98" s="69"/>
      <c r="D98" s="69">
        <v>25</v>
      </c>
      <c r="E98" s="20">
        <v>0.14927777872664599</v>
      </c>
    </row>
    <row r="99" spans="2:5" x14ac:dyDescent="0.3">
      <c r="B99" s="107"/>
      <c r="C99" s="69"/>
      <c r="D99" s="69">
        <v>26</v>
      </c>
      <c r="E99" s="20">
        <v>0.15634310878156599</v>
      </c>
    </row>
    <row r="100" spans="2:5" x14ac:dyDescent="0.3">
      <c r="B100" s="107"/>
      <c r="C100" s="69"/>
      <c r="D100" s="69">
        <v>27</v>
      </c>
      <c r="E100" s="20">
        <v>0.16382342483835499</v>
      </c>
    </row>
    <row r="101" spans="2:5" x14ac:dyDescent="0.3">
      <c r="B101" s="107"/>
      <c r="C101" s="69"/>
      <c r="D101" s="69">
        <v>28</v>
      </c>
      <c r="E101" s="20">
        <v>0.17173676749807901</v>
      </c>
    </row>
    <row r="102" spans="2:5" x14ac:dyDescent="0.3">
      <c r="B102" s="107"/>
      <c r="C102" s="69"/>
      <c r="D102" s="69">
        <v>29</v>
      </c>
      <c r="E102" s="20">
        <v>0.18011603377834201</v>
      </c>
    </row>
    <row r="103" spans="2:5" x14ac:dyDescent="0.3">
      <c r="B103" s="107" t="s">
        <v>163</v>
      </c>
      <c r="C103" s="69"/>
      <c r="D103" s="69">
        <v>20</v>
      </c>
      <c r="E103" s="20">
        <v>1.06069100356565</v>
      </c>
    </row>
    <row r="104" spans="2:5" x14ac:dyDescent="0.3">
      <c r="B104" s="107"/>
      <c r="C104" s="69"/>
      <c r="D104" s="69">
        <v>21</v>
      </c>
      <c r="E104" s="20">
        <v>1.0872656987134299</v>
      </c>
    </row>
    <row r="105" spans="2:5" x14ac:dyDescent="0.3">
      <c r="B105" s="107"/>
      <c r="C105" s="69"/>
      <c r="D105" s="69">
        <v>22</v>
      </c>
      <c r="E105" s="20">
        <v>1.06337390996296</v>
      </c>
    </row>
    <row r="106" spans="2:5" x14ac:dyDescent="0.3">
      <c r="B106" s="107"/>
      <c r="C106" s="69"/>
      <c r="D106" s="69">
        <v>23</v>
      </c>
      <c r="E106" s="20">
        <v>1.09955588401099</v>
      </c>
    </row>
    <row r="107" spans="2:5" x14ac:dyDescent="0.3">
      <c r="B107" s="107"/>
      <c r="C107" s="69"/>
      <c r="D107" s="69">
        <v>24</v>
      </c>
      <c r="E107" s="20">
        <v>1.0813329785488499</v>
      </c>
    </row>
    <row r="108" spans="2:5" x14ac:dyDescent="0.3">
      <c r="B108" s="107"/>
      <c r="C108" s="69"/>
      <c r="D108" s="69">
        <v>25</v>
      </c>
      <c r="E108" s="20">
        <v>1.0769023979145</v>
      </c>
    </row>
    <row r="109" spans="2:5" x14ac:dyDescent="0.3">
      <c r="B109" s="107"/>
      <c r="C109" s="69"/>
      <c r="D109" s="69">
        <v>26</v>
      </c>
      <c r="E109" s="20">
        <v>1.1085717893212399</v>
      </c>
    </row>
    <row r="110" spans="2:5" x14ac:dyDescent="0.3">
      <c r="B110" s="107"/>
      <c r="C110" s="69"/>
      <c r="D110" s="69">
        <v>27</v>
      </c>
      <c r="E110" s="20">
        <v>1.0806807621282499</v>
      </c>
    </row>
    <row r="111" spans="2:5" x14ac:dyDescent="0.3">
      <c r="B111" s="107"/>
      <c r="C111" s="69"/>
      <c r="D111" s="69">
        <v>28</v>
      </c>
      <c r="E111" s="20">
        <v>1.1068168302058199</v>
      </c>
    </row>
    <row r="112" spans="2:5" x14ac:dyDescent="0.3">
      <c r="B112" s="107"/>
      <c r="C112" s="69"/>
      <c r="D112" s="69">
        <v>29</v>
      </c>
      <c r="E112" s="20">
        <v>1.11460612704811</v>
      </c>
    </row>
    <row r="113" spans="2:4" x14ac:dyDescent="0.3">
      <c r="B113" s="107" t="s">
        <v>164</v>
      </c>
      <c r="C113" s="69"/>
      <c r="D113" s="69">
        <v>20</v>
      </c>
    </row>
    <row r="114" spans="2:4" x14ac:dyDescent="0.3">
      <c r="B114" s="107"/>
      <c r="C114" s="69"/>
      <c r="D114" s="69">
        <v>21</v>
      </c>
    </row>
    <row r="115" spans="2:4" x14ac:dyDescent="0.3">
      <c r="B115" s="107"/>
      <c r="C115" s="69"/>
      <c r="D115" s="69">
        <v>22</v>
      </c>
    </row>
    <row r="116" spans="2:4" x14ac:dyDescent="0.3">
      <c r="B116" s="107"/>
      <c r="C116" s="69"/>
      <c r="D116" s="69">
        <v>23</v>
      </c>
    </row>
    <row r="117" spans="2:4" x14ac:dyDescent="0.3">
      <c r="B117" s="107"/>
      <c r="C117" s="69"/>
      <c r="D117" s="69">
        <v>24</v>
      </c>
    </row>
    <row r="118" spans="2:4" x14ac:dyDescent="0.3">
      <c r="B118" s="107"/>
      <c r="C118" s="69"/>
      <c r="D118" s="69">
        <v>25</v>
      </c>
    </row>
    <row r="119" spans="2:4" x14ac:dyDescent="0.3">
      <c r="B119" s="107"/>
      <c r="C119" s="69"/>
      <c r="D119" s="69">
        <v>26</v>
      </c>
    </row>
    <row r="120" spans="2:4" x14ac:dyDescent="0.3">
      <c r="B120" s="107"/>
      <c r="C120" s="69"/>
      <c r="D120" s="69">
        <v>27</v>
      </c>
    </row>
    <row r="121" spans="2:4" x14ac:dyDescent="0.3">
      <c r="B121" s="107"/>
      <c r="C121" s="69"/>
      <c r="D121" s="69">
        <v>28</v>
      </c>
    </row>
    <row r="122" spans="2:4" x14ac:dyDescent="0.3">
      <c r="B122" s="107"/>
      <c r="C122" s="69"/>
      <c r="D122" s="69">
        <v>29</v>
      </c>
    </row>
  </sheetData>
  <mergeCells count="14">
    <mergeCell ref="A1:A61"/>
    <mergeCell ref="B103:B112"/>
    <mergeCell ref="B113:B122"/>
    <mergeCell ref="B62:K62"/>
    <mergeCell ref="B63:B72"/>
    <mergeCell ref="B73:B82"/>
    <mergeCell ref="B83:B92"/>
    <mergeCell ref="B93:B102"/>
    <mergeCell ref="B52:B61"/>
    <mergeCell ref="B2:B11"/>
    <mergeCell ref="B12:B21"/>
    <mergeCell ref="B22:B31"/>
    <mergeCell ref="B32:B41"/>
    <mergeCell ref="B42:B5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D2:F16"/>
  <sheetViews>
    <sheetView workbookViewId="0">
      <selection activeCell="D7" sqref="D7:D16"/>
    </sheetView>
  </sheetViews>
  <sheetFormatPr defaultRowHeight="14.4" x14ac:dyDescent="0.3"/>
  <cols>
    <col min="4" max="4" width="8.6640625" customWidth="1"/>
    <col min="5" max="5" width="9.88671875" customWidth="1"/>
    <col min="6" max="6" width="16.88671875" customWidth="1"/>
    <col min="7" max="7" width="10.44140625" customWidth="1"/>
    <col min="8" max="8" width="11.77734375" customWidth="1"/>
    <col min="9" max="9" width="12" bestFit="1" customWidth="1"/>
  </cols>
  <sheetData>
    <row r="2" spans="4:6" x14ac:dyDescent="0.3">
      <c r="F2" s="20"/>
    </row>
    <row r="3" spans="4:6" x14ac:dyDescent="0.3">
      <c r="F3" s="20"/>
    </row>
    <row r="4" spans="4:6" x14ac:dyDescent="0.3">
      <c r="F4" s="20"/>
    </row>
    <row r="5" spans="4:6" x14ac:dyDescent="0.3">
      <c r="F5" s="20"/>
    </row>
    <row r="6" spans="4:6" x14ac:dyDescent="0.3">
      <c r="F6" s="20"/>
    </row>
    <row r="7" spans="4:6" x14ac:dyDescent="0.3">
      <c r="D7">
        <v>1.06069100356565</v>
      </c>
      <c r="E7">
        <v>20</v>
      </c>
    </row>
    <row r="8" spans="4:6" x14ac:dyDescent="0.3">
      <c r="D8">
        <v>1.0872656987134299</v>
      </c>
      <c r="E8">
        <v>21</v>
      </c>
    </row>
    <row r="9" spans="4:6" x14ac:dyDescent="0.3">
      <c r="D9">
        <v>1.06337390996296</v>
      </c>
      <c r="E9">
        <v>22</v>
      </c>
    </row>
    <row r="10" spans="4:6" x14ac:dyDescent="0.3">
      <c r="D10">
        <v>1.09955588401099</v>
      </c>
      <c r="E10">
        <v>23</v>
      </c>
    </row>
    <row r="11" spans="4:6" x14ac:dyDescent="0.3">
      <c r="D11">
        <v>1.0813329785488499</v>
      </c>
      <c r="E11">
        <v>24</v>
      </c>
    </row>
    <row r="12" spans="4:6" x14ac:dyDescent="0.3">
      <c r="D12">
        <v>1.0769023979145</v>
      </c>
      <c r="E12">
        <v>25</v>
      </c>
    </row>
    <row r="13" spans="4:6" x14ac:dyDescent="0.3">
      <c r="D13">
        <v>1.1085717893212399</v>
      </c>
      <c r="E13">
        <v>26</v>
      </c>
    </row>
    <row r="14" spans="4:6" x14ac:dyDescent="0.3">
      <c r="D14">
        <v>1.0806807621282499</v>
      </c>
      <c r="E14">
        <v>27</v>
      </c>
    </row>
    <row r="15" spans="4:6" x14ac:dyDescent="0.3">
      <c r="D15">
        <v>1.1068168302058199</v>
      </c>
      <c r="E15">
        <v>28</v>
      </c>
    </row>
    <row r="16" spans="4:6" x14ac:dyDescent="0.3">
      <c r="D16">
        <v>1.11460612704811</v>
      </c>
      <c r="E16">
        <v>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D973B-6F85-4D95-9C53-F69368BA4D68}">
  <dimension ref="A1:B11"/>
  <sheetViews>
    <sheetView workbookViewId="0">
      <selection activeCell="G19" sqref="G19"/>
    </sheetView>
  </sheetViews>
  <sheetFormatPr defaultRowHeight="14.4" x14ac:dyDescent="0.3"/>
  <cols>
    <col min="1" max="1" width="14.44140625" bestFit="1" customWidth="1"/>
  </cols>
  <sheetData>
    <row r="1" spans="1:2" x14ac:dyDescent="0.3">
      <c r="A1" t="s">
        <v>0</v>
      </c>
      <c r="B1">
        <v>2.12</v>
      </c>
    </row>
    <row r="2" spans="1:2" x14ac:dyDescent="0.3">
      <c r="A2" t="s">
        <v>6</v>
      </c>
      <c r="B2">
        <v>2.0099999999999998</v>
      </c>
    </row>
    <row r="6" spans="1:2" x14ac:dyDescent="0.3">
      <c r="A6" t="s">
        <v>1</v>
      </c>
      <c r="B6">
        <v>2.1349999999999998</v>
      </c>
    </row>
    <row r="7" spans="1:2" x14ac:dyDescent="0.3">
      <c r="A7" t="s">
        <v>2</v>
      </c>
      <c r="B7">
        <v>2.0499999999999998</v>
      </c>
    </row>
    <row r="10" spans="1:2" x14ac:dyDescent="0.3">
      <c r="A10" t="s">
        <v>118</v>
      </c>
      <c r="B10">
        <v>2.0750000000000002</v>
      </c>
    </row>
    <row r="11" spans="1:2" x14ac:dyDescent="0.3">
      <c r="A11" t="s">
        <v>119</v>
      </c>
      <c r="B11">
        <v>2.1150000000000002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D1" zoomScale="85" zoomScaleNormal="85" workbookViewId="0">
      <selection activeCell="Z14" sqref="Z14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78" t="s">
        <v>30</v>
      </c>
      <c r="B1" s="78" t="s">
        <v>29</v>
      </c>
      <c r="C1" s="78"/>
      <c r="D1" s="78"/>
      <c r="E1" s="108" t="s">
        <v>36</v>
      </c>
      <c r="F1" s="108"/>
      <c r="G1" s="108" t="s">
        <v>29</v>
      </c>
      <c r="H1" s="108"/>
      <c r="I1" s="108"/>
      <c r="J1" s="78" t="s">
        <v>36</v>
      </c>
      <c r="K1" s="78"/>
    </row>
    <row r="2" spans="1:11" x14ac:dyDescent="0.3">
      <c r="A2" s="78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00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100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100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100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100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100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100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100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100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100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100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100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100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100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100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100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100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100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100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100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100" t="s">
        <v>30</v>
      </c>
      <c r="B23" s="78" t="s">
        <v>29</v>
      </c>
      <c r="C23" s="78"/>
      <c r="D23" s="78"/>
      <c r="E23" s="78" t="s">
        <v>36</v>
      </c>
      <c r="F23" s="78"/>
      <c r="G23" s="78" t="s">
        <v>29</v>
      </c>
      <c r="H23" s="78"/>
      <c r="I23" s="78"/>
      <c r="J23" s="78" t="s">
        <v>36</v>
      </c>
      <c r="K23" s="78"/>
    </row>
    <row r="24" spans="1:11" x14ac:dyDescent="0.3">
      <c r="A24" s="100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00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100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100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100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100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100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100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100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100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100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100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100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100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100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100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100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100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100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100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100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78" t="s">
        <v>30</v>
      </c>
      <c r="B45" s="78" t="s">
        <v>29</v>
      </c>
      <c r="C45" s="78"/>
      <c r="D45" s="78"/>
      <c r="E45" s="108" t="s">
        <v>36</v>
      </c>
      <c r="F45" s="108"/>
      <c r="G45" s="108" t="s">
        <v>29</v>
      </c>
      <c r="H45" s="108"/>
      <c r="I45" s="108"/>
      <c r="J45" s="78" t="s">
        <v>36</v>
      </c>
      <c r="K45" s="78"/>
    </row>
    <row r="46" spans="1:11" x14ac:dyDescent="0.3">
      <c r="A46" s="78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00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100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100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100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100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100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100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100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100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100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100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100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100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100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100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100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100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100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100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78" t="s">
        <v>30</v>
      </c>
      <c r="B67" s="78" t="s">
        <v>29</v>
      </c>
      <c r="C67" s="78"/>
      <c r="D67" s="78"/>
      <c r="E67" s="108" t="s">
        <v>36</v>
      </c>
      <c r="F67" s="108"/>
      <c r="G67" s="108" t="s">
        <v>29</v>
      </c>
      <c r="H67" s="108"/>
      <c r="I67" s="108"/>
      <c r="J67" s="78" t="s">
        <v>36</v>
      </c>
      <c r="K67" s="78"/>
    </row>
    <row r="68" spans="1:11" x14ac:dyDescent="0.3">
      <c r="A68" s="78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00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100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100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100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100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100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100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100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100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100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100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100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100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100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100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100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100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100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100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78" t="s">
        <v>30</v>
      </c>
      <c r="B89" s="78" t="s">
        <v>29</v>
      </c>
      <c r="C89" s="78"/>
      <c r="D89" s="78"/>
      <c r="E89" s="108" t="s">
        <v>36</v>
      </c>
      <c r="F89" s="108"/>
      <c r="G89" s="108" t="s">
        <v>29</v>
      </c>
      <c r="H89" s="108"/>
      <c r="I89" s="108"/>
      <c r="J89" s="78" t="s">
        <v>36</v>
      </c>
      <c r="K89" s="78"/>
    </row>
    <row r="90" spans="1:11" x14ac:dyDescent="0.3">
      <c r="A90" s="78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100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100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100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100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100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100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100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100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100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100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100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100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100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100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100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100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100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100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100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100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78" t="s">
        <v>30</v>
      </c>
      <c r="B111" s="78" t="s">
        <v>29</v>
      </c>
      <c r="C111" s="78"/>
      <c r="D111" s="78"/>
      <c r="E111" s="108" t="s">
        <v>36</v>
      </c>
      <c r="F111" s="108"/>
      <c r="G111" s="108" t="s">
        <v>29</v>
      </c>
      <c r="H111" s="108"/>
      <c r="I111" s="108"/>
      <c r="J111" s="78" t="s">
        <v>36</v>
      </c>
      <c r="K111" s="78"/>
    </row>
    <row r="112" spans="1:11" x14ac:dyDescent="0.3">
      <c r="A112" s="78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100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100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100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100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100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100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100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100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100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100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100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100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100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100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100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100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100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100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100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113:A131"/>
    <mergeCell ref="A111:A112"/>
    <mergeCell ref="B111:D111"/>
    <mergeCell ref="E111:F111"/>
    <mergeCell ref="G111:I111"/>
    <mergeCell ref="J111:K111"/>
    <mergeCell ref="B89:D89"/>
    <mergeCell ref="E89:F89"/>
    <mergeCell ref="G89:I89"/>
    <mergeCell ref="J89:K89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B1:D1"/>
    <mergeCell ref="E1:F1"/>
    <mergeCell ref="G1:I1"/>
    <mergeCell ref="J1:K1"/>
    <mergeCell ref="A1:A2"/>
    <mergeCell ref="A3:A22"/>
    <mergeCell ref="A25:A44"/>
    <mergeCell ref="G23:I23"/>
    <mergeCell ref="B23:D23"/>
    <mergeCell ref="E23:F2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workbookViewId="0">
      <selection activeCell="N21" sqref="N2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78" t="s">
        <v>30</v>
      </c>
      <c r="B1" s="78" t="s">
        <v>29</v>
      </c>
      <c r="C1" s="78"/>
      <c r="D1" s="78"/>
      <c r="E1" s="108" t="s">
        <v>36</v>
      </c>
      <c r="F1" s="108"/>
      <c r="G1" s="108" t="s">
        <v>29</v>
      </c>
      <c r="H1" s="108"/>
      <c r="I1" s="108"/>
      <c r="J1" s="78" t="s">
        <v>36</v>
      </c>
      <c r="K1" s="78"/>
    </row>
    <row r="2" spans="1:11" x14ac:dyDescent="0.3">
      <c r="A2" s="78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00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100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100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100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100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100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100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100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100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100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100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100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100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100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100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100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100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100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100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100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100" t="s">
        <v>30</v>
      </c>
      <c r="B23" s="78" t="s">
        <v>29</v>
      </c>
      <c r="C23" s="78"/>
      <c r="D23" s="78"/>
      <c r="E23" s="78" t="s">
        <v>36</v>
      </c>
      <c r="F23" s="78"/>
      <c r="G23" s="78" t="s">
        <v>29</v>
      </c>
      <c r="H23" s="78"/>
      <c r="I23" s="78"/>
      <c r="J23" s="78" t="s">
        <v>36</v>
      </c>
      <c r="K23" s="78"/>
    </row>
    <row r="24" spans="1:11" x14ac:dyDescent="0.3">
      <c r="A24" s="100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00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100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100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100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100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100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100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100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100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100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100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100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100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100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100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100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100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100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100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100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100" t="s">
        <v>30</v>
      </c>
      <c r="B45" s="78" t="s">
        <v>29</v>
      </c>
      <c r="C45" s="78"/>
      <c r="D45" s="78"/>
      <c r="E45" s="78" t="s">
        <v>36</v>
      </c>
      <c r="F45" s="78"/>
      <c r="G45" s="78" t="s">
        <v>29</v>
      </c>
      <c r="H45" s="78"/>
      <c r="I45" s="78"/>
      <c r="J45" s="78" t="s">
        <v>36</v>
      </c>
      <c r="K45" s="78"/>
    </row>
    <row r="46" spans="1:11" x14ac:dyDescent="0.3">
      <c r="A46" s="100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00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100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100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100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100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100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100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100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100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100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100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100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100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100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100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100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100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100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100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100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100" t="s">
        <v>30</v>
      </c>
      <c r="B67" s="78" t="s">
        <v>29</v>
      </c>
      <c r="C67" s="78"/>
      <c r="D67" s="78"/>
      <c r="E67" s="78" t="s">
        <v>36</v>
      </c>
      <c r="F67" s="78"/>
      <c r="G67" s="78" t="s">
        <v>29</v>
      </c>
      <c r="H67" s="78"/>
      <c r="I67" s="78"/>
      <c r="J67" s="78" t="s">
        <v>36</v>
      </c>
      <c r="K67" s="78"/>
    </row>
    <row r="68" spans="1:11" x14ac:dyDescent="0.3">
      <c r="A68" s="100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00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100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100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100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100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100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100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100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100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100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100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100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100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100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100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100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100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100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100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100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100" t="s">
        <v>30</v>
      </c>
      <c r="B89" s="78" t="s">
        <v>29</v>
      </c>
      <c r="C89" s="78"/>
      <c r="D89" s="78"/>
      <c r="E89" s="78" t="s">
        <v>36</v>
      </c>
      <c r="F89" s="78"/>
      <c r="G89" s="78" t="s">
        <v>29</v>
      </c>
      <c r="H89" s="78"/>
      <c r="I89" s="78"/>
      <c r="J89" s="78" t="s">
        <v>36</v>
      </c>
      <c r="K89" s="78"/>
    </row>
    <row r="90" spans="1:14" x14ac:dyDescent="0.3">
      <c r="A90" s="100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100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100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100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100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0"/>
    </row>
    <row r="95" spans="1:14" x14ac:dyDescent="0.3">
      <c r="A95" s="100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100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100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100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100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100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100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100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100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100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100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100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100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100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100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100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100" t="s">
        <v>30</v>
      </c>
      <c r="B111" s="78" t="s">
        <v>29</v>
      </c>
      <c r="C111" s="78"/>
      <c r="D111" s="78"/>
      <c r="E111" s="78" t="s">
        <v>36</v>
      </c>
      <c r="F111" s="78"/>
      <c r="G111" s="78" t="s">
        <v>29</v>
      </c>
      <c r="H111" s="78"/>
      <c r="I111" s="78"/>
      <c r="J111" s="78" t="s">
        <v>36</v>
      </c>
      <c r="K111" s="78"/>
    </row>
    <row r="112" spans="1:11" x14ac:dyDescent="0.3">
      <c r="A112" s="100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100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100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100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100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100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100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100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100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100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100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100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100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100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100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100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100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100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100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100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100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113:A132"/>
    <mergeCell ref="A91:A110"/>
    <mergeCell ref="A111:A112"/>
    <mergeCell ref="B111:D111"/>
    <mergeCell ref="E111:F111"/>
    <mergeCell ref="J111:K111"/>
    <mergeCell ref="E67:F67"/>
    <mergeCell ref="G67:I67"/>
    <mergeCell ref="J67:K67"/>
    <mergeCell ref="J89:K89"/>
    <mergeCell ref="A89:A90"/>
    <mergeCell ref="B89:D89"/>
    <mergeCell ref="E89:F89"/>
    <mergeCell ref="G89:I89"/>
    <mergeCell ref="G111:I111"/>
    <mergeCell ref="J23:K23"/>
    <mergeCell ref="A23:A24"/>
    <mergeCell ref="A69:A88"/>
    <mergeCell ref="J45:K45"/>
    <mergeCell ref="A47:A66"/>
    <mergeCell ref="A67:A68"/>
    <mergeCell ref="B67:D67"/>
    <mergeCell ref="A1:A2"/>
    <mergeCell ref="B1:D1"/>
    <mergeCell ref="E1:F1"/>
    <mergeCell ref="G1:I1"/>
    <mergeCell ref="J1:K1"/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1" workbookViewId="0">
      <selection activeCell="T18" sqref="T18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78" t="s">
        <v>30</v>
      </c>
      <c r="B1" s="78" t="s">
        <v>29</v>
      </c>
      <c r="C1" s="78"/>
      <c r="D1" s="78"/>
      <c r="E1" s="108" t="s">
        <v>36</v>
      </c>
      <c r="F1" s="108"/>
      <c r="G1" s="108" t="s">
        <v>29</v>
      </c>
      <c r="H1" s="108"/>
      <c r="I1" s="108"/>
      <c r="J1" s="78" t="s">
        <v>36</v>
      </c>
      <c r="K1" s="78"/>
    </row>
    <row r="2" spans="1:11" x14ac:dyDescent="0.3">
      <c r="A2" s="78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00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100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100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100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100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100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100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100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100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100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100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100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100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100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100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100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100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100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100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100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100" t="s">
        <v>30</v>
      </c>
      <c r="B23" s="78" t="s">
        <v>29</v>
      </c>
      <c r="C23" s="78"/>
      <c r="D23" s="78"/>
      <c r="E23" s="78" t="s">
        <v>36</v>
      </c>
      <c r="F23" s="78"/>
      <c r="G23" s="78" t="s">
        <v>29</v>
      </c>
      <c r="H23" s="78"/>
      <c r="I23" s="78"/>
      <c r="J23" s="78" t="s">
        <v>36</v>
      </c>
      <c r="K23" s="78"/>
    </row>
    <row r="24" spans="1:11" x14ac:dyDescent="0.3">
      <c r="A24" s="100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00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100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100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100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100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100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100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100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100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100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100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100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100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100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100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100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100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100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100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100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100" t="s">
        <v>30</v>
      </c>
      <c r="B45" s="78" t="s">
        <v>29</v>
      </c>
      <c r="C45" s="78"/>
      <c r="D45" s="78"/>
      <c r="E45" s="78" t="s">
        <v>36</v>
      </c>
      <c r="F45" s="78"/>
      <c r="G45" s="78" t="s">
        <v>29</v>
      </c>
      <c r="H45" s="78"/>
      <c r="I45" s="78"/>
      <c r="J45" s="78" t="s">
        <v>36</v>
      </c>
      <c r="K45" s="78"/>
    </row>
    <row r="46" spans="1:11" x14ac:dyDescent="0.3">
      <c r="A46" s="100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00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100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100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100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100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100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100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100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100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100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100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100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100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100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100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100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100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100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100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100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100" t="s">
        <v>30</v>
      </c>
      <c r="B67" s="78" t="s">
        <v>29</v>
      </c>
      <c r="C67" s="78"/>
      <c r="D67" s="78"/>
      <c r="E67" s="78" t="s">
        <v>36</v>
      </c>
      <c r="F67" s="78"/>
      <c r="G67" s="78" t="s">
        <v>29</v>
      </c>
      <c r="H67" s="78"/>
      <c r="I67" s="78"/>
      <c r="J67" s="78" t="s">
        <v>36</v>
      </c>
      <c r="K67" s="78"/>
    </row>
    <row r="68" spans="1:11" x14ac:dyDescent="0.3">
      <c r="A68" s="100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00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100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100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100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100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100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100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100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100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100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100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100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100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100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100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100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100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100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100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100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100" t="s">
        <v>30</v>
      </c>
      <c r="B89" s="78" t="s">
        <v>29</v>
      </c>
      <c r="C89" s="78"/>
      <c r="D89" s="78"/>
      <c r="E89" s="78" t="s">
        <v>36</v>
      </c>
      <c r="F89" s="78"/>
      <c r="G89" s="78" t="s">
        <v>29</v>
      </c>
      <c r="H89" s="78"/>
      <c r="I89" s="78"/>
      <c r="J89" s="78" t="s">
        <v>36</v>
      </c>
      <c r="K89" s="78"/>
    </row>
    <row r="90" spans="1:11" x14ac:dyDescent="0.3">
      <c r="A90" s="100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100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100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100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100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100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100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100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100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100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100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100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100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100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100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100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100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100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100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100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100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E9"/>
  <sheetViews>
    <sheetView workbookViewId="0">
      <selection activeCell="J32" sqref="J32"/>
    </sheetView>
  </sheetViews>
  <sheetFormatPr defaultRowHeight="14.4" x14ac:dyDescent="0.3"/>
  <cols>
    <col min="1" max="1" width="13.21875" customWidth="1"/>
    <col min="2" max="2" width="18" bestFit="1" customWidth="1"/>
  </cols>
  <sheetData>
    <row r="1" spans="1:5" x14ac:dyDescent="0.3">
      <c r="B1" t="s">
        <v>181</v>
      </c>
      <c r="C1" t="s">
        <v>171</v>
      </c>
      <c r="D1" t="s">
        <v>179</v>
      </c>
    </row>
    <row r="2" spans="1:5" x14ac:dyDescent="0.3">
      <c r="A2" t="s">
        <v>81</v>
      </c>
      <c r="B2" t="s">
        <v>82</v>
      </c>
      <c r="C2" t="s">
        <v>82</v>
      </c>
    </row>
    <row r="3" spans="1:5" x14ac:dyDescent="0.3">
      <c r="A3">
        <v>400</v>
      </c>
      <c r="B3">
        <v>10.1</v>
      </c>
      <c r="C3">
        <v>12.4</v>
      </c>
      <c r="D3">
        <v>14.7</v>
      </c>
      <c r="E3">
        <v>0</v>
      </c>
    </row>
    <row r="4" spans="1:5" x14ac:dyDescent="0.3">
      <c r="A4">
        <f>A3+200</f>
        <v>600</v>
      </c>
      <c r="B4">
        <v>11.5</v>
      </c>
      <c r="C4">
        <v>14.5</v>
      </c>
      <c r="D4">
        <v>17.8</v>
      </c>
      <c r="E4">
        <v>1</v>
      </c>
    </row>
    <row r="5" spans="1:5" x14ac:dyDescent="0.3">
      <c r="A5">
        <f>A4+200</f>
        <v>800</v>
      </c>
      <c r="B5">
        <v>14.4</v>
      </c>
      <c r="C5">
        <v>18.5</v>
      </c>
      <c r="D5">
        <v>22.8</v>
      </c>
      <c r="E5">
        <v>2</v>
      </c>
    </row>
    <row r="6" spans="1:5" x14ac:dyDescent="0.3">
      <c r="A6">
        <f t="shared" ref="A6:A9" si="0">A5+200</f>
        <v>1000</v>
      </c>
      <c r="B6">
        <v>16.7</v>
      </c>
      <c r="C6">
        <v>22.1</v>
      </c>
      <c r="D6">
        <v>27.7</v>
      </c>
      <c r="E6">
        <v>3</v>
      </c>
    </row>
    <row r="7" spans="1:5" x14ac:dyDescent="0.3">
      <c r="A7">
        <f t="shared" si="0"/>
        <v>1200</v>
      </c>
      <c r="B7">
        <v>19.3</v>
      </c>
      <c r="C7">
        <v>26</v>
      </c>
      <c r="D7">
        <v>32.299999999999997</v>
      </c>
      <c r="E7">
        <v>4</v>
      </c>
    </row>
    <row r="8" spans="1:5" x14ac:dyDescent="0.3">
      <c r="A8">
        <f t="shared" si="0"/>
        <v>1400</v>
      </c>
      <c r="B8">
        <v>20.5</v>
      </c>
      <c r="C8">
        <v>27.8</v>
      </c>
      <c r="D8">
        <v>35.200000000000003</v>
      </c>
      <c r="E8">
        <v>5</v>
      </c>
    </row>
    <row r="9" spans="1:5" x14ac:dyDescent="0.3">
      <c r="A9">
        <f t="shared" si="0"/>
        <v>1600</v>
      </c>
      <c r="B9">
        <v>22.6</v>
      </c>
      <c r="C9">
        <v>30.7</v>
      </c>
      <c r="D9">
        <v>38.799999999999997</v>
      </c>
      <c r="E9">
        <v>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workbookViewId="0">
      <selection activeCell="N16" sqref="N16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100" t="s">
        <v>94</v>
      </c>
      <c r="B2">
        <v>20</v>
      </c>
      <c r="C2">
        <v>16.22</v>
      </c>
    </row>
    <row r="3" spans="1:3" x14ac:dyDescent="0.3">
      <c r="A3" s="100"/>
      <c r="B3">
        <v>21</v>
      </c>
      <c r="C3">
        <v>15.85</v>
      </c>
    </row>
    <row r="4" spans="1:3" x14ac:dyDescent="0.3">
      <c r="A4" s="100"/>
      <c r="B4">
        <v>22</v>
      </c>
      <c r="C4">
        <v>15.34</v>
      </c>
    </row>
    <row r="5" spans="1:3" x14ac:dyDescent="0.3">
      <c r="A5" s="100"/>
      <c r="B5">
        <v>23</v>
      </c>
      <c r="C5">
        <v>15.12</v>
      </c>
    </row>
    <row r="6" spans="1:3" x14ac:dyDescent="0.3">
      <c r="A6" s="100"/>
      <c r="B6">
        <v>24</v>
      </c>
      <c r="C6">
        <v>14.9</v>
      </c>
    </row>
    <row r="7" spans="1:3" x14ac:dyDescent="0.3">
      <c r="A7" s="100"/>
      <c r="B7">
        <v>25</v>
      </c>
      <c r="C7">
        <v>14.58</v>
      </c>
    </row>
    <row r="8" spans="1:3" x14ac:dyDescent="0.3">
      <c r="A8" s="100"/>
      <c r="B8">
        <v>26</v>
      </c>
      <c r="C8">
        <v>14.04</v>
      </c>
    </row>
    <row r="9" spans="1:3" x14ac:dyDescent="0.3">
      <c r="A9" s="100"/>
      <c r="B9">
        <v>27</v>
      </c>
      <c r="C9">
        <v>14.82</v>
      </c>
    </row>
    <row r="10" spans="1:3" x14ac:dyDescent="0.3">
      <c r="A10" s="100"/>
      <c r="B10">
        <v>28</v>
      </c>
      <c r="C10">
        <v>15.28</v>
      </c>
    </row>
    <row r="11" spans="1:3" x14ac:dyDescent="0.3">
      <c r="A11" s="100"/>
      <c r="B11">
        <v>29</v>
      </c>
      <c r="C11">
        <v>15.74</v>
      </c>
    </row>
    <row r="12" spans="1:3" x14ac:dyDescent="0.3">
      <c r="A12" s="100"/>
      <c r="B12">
        <v>30</v>
      </c>
      <c r="C12">
        <v>16.18</v>
      </c>
    </row>
    <row r="13" spans="1:3" x14ac:dyDescent="0.3">
      <c r="A13" s="100" t="s">
        <v>0</v>
      </c>
      <c r="B13">
        <v>20</v>
      </c>
      <c r="C13">
        <v>18.5</v>
      </c>
    </row>
    <row r="14" spans="1:3" x14ac:dyDescent="0.3">
      <c r="A14" s="100"/>
      <c r="B14">
        <v>21</v>
      </c>
      <c r="C14">
        <v>17.96</v>
      </c>
    </row>
    <row r="15" spans="1:3" x14ac:dyDescent="0.3">
      <c r="A15" s="100"/>
      <c r="B15">
        <v>22</v>
      </c>
      <c r="C15">
        <v>17.11</v>
      </c>
    </row>
    <row r="16" spans="1:3" x14ac:dyDescent="0.3">
      <c r="A16" s="100"/>
      <c r="B16">
        <v>23</v>
      </c>
      <c r="C16">
        <v>16.5</v>
      </c>
    </row>
    <row r="17" spans="1:3" x14ac:dyDescent="0.3">
      <c r="A17" s="100"/>
      <c r="B17">
        <v>24</v>
      </c>
      <c r="C17">
        <v>15.8</v>
      </c>
    </row>
    <row r="18" spans="1:3" x14ac:dyDescent="0.3">
      <c r="A18" s="100"/>
      <c r="B18">
        <v>25</v>
      </c>
      <c r="C18">
        <v>15.42</v>
      </c>
    </row>
    <row r="19" spans="1:3" x14ac:dyDescent="0.3">
      <c r="A19" s="100"/>
      <c r="B19">
        <v>26</v>
      </c>
      <c r="C19">
        <v>14.91</v>
      </c>
    </row>
    <row r="20" spans="1:3" x14ac:dyDescent="0.3">
      <c r="A20" s="100"/>
      <c r="B20">
        <v>27</v>
      </c>
      <c r="C20">
        <v>15.34</v>
      </c>
    </row>
    <row r="21" spans="1:3" x14ac:dyDescent="0.3">
      <c r="A21" s="100"/>
      <c r="B21">
        <v>28</v>
      </c>
      <c r="C21">
        <v>15.93</v>
      </c>
    </row>
    <row r="22" spans="1:3" x14ac:dyDescent="0.3">
      <c r="A22" s="100"/>
      <c r="B22">
        <v>29</v>
      </c>
      <c r="C22">
        <v>16.48</v>
      </c>
    </row>
    <row r="23" spans="1:3" x14ac:dyDescent="0.3">
      <c r="A23" s="100"/>
      <c r="B23">
        <v>30</v>
      </c>
      <c r="C23">
        <v>17.02</v>
      </c>
    </row>
    <row r="24" spans="1:3" x14ac:dyDescent="0.3">
      <c r="A24" s="100" t="s">
        <v>6</v>
      </c>
      <c r="B24">
        <v>20</v>
      </c>
      <c r="C24">
        <v>23.16</v>
      </c>
    </row>
    <row r="25" spans="1:3" x14ac:dyDescent="0.3">
      <c r="A25" s="100"/>
      <c r="B25">
        <v>21</v>
      </c>
      <c r="C25">
        <v>22.85</v>
      </c>
    </row>
    <row r="26" spans="1:3" x14ac:dyDescent="0.3">
      <c r="A26" s="100"/>
      <c r="B26">
        <v>22</v>
      </c>
      <c r="C26">
        <v>22.66</v>
      </c>
    </row>
    <row r="27" spans="1:3" x14ac:dyDescent="0.3">
      <c r="A27" s="100"/>
      <c r="B27">
        <v>23</v>
      </c>
      <c r="C27">
        <v>22.43</v>
      </c>
    </row>
    <row r="28" spans="1:3" x14ac:dyDescent="0.3">
      <c r="A28" s="100"/>
      <c r="B28">
        <v>24</v>
      </c>
      <c r="C28">
        <v>22.08</v>
      </c>
    </row>
    <row r="29" spans="1:3" x14ac:dyDescent="0.3">
      <c r="A29" s="100"/>
      <c r="B29">
        <v>25</v>
      </c>
      <c r="C29">
        <v>21.39</v>
      </c>
    </row>
    <row r="30" spans="1:3" x14ac:dyDescent="0.3">
      <c r="A30" s="100"/>
      <c r="B30">
        <v>26</v>
      </c>
      <c r="C30">
        <v>21.53</v>
      </c>
    </row>
    <row r="31" spans="1:3" x14ac:dyDescent="0.3">
      <c r="A31" s="100"/>
      <c r="B31">
        <v>27</v>
      </c>
      <c r="C31">
        <v>21.83</v>
      </c>
    </row>
    <row r="32" spans="1:3" x14ac:dyDescent="0.3">
      <c r="A32" s="100"/>
      <c r="B32">
        <v>28</v>
      </c>
      <c r="C32">
        <v>21.91</v>
      </c>
    </row>
    <row r="33" spans="1:3" x14ac:dyDescent="0.3">
      <c r="A33" s="100"/>
      <c r="B33">
        <v>29</v>
      </c>
      <c r="C33">
        <v>22.32</v>
      </c>
    </row>
    <row r="34" spans="1:3" x14ac:dyDescent="0.3">
      <c r="A34" s="100"/>
      <c r="B34">
        <v>30</v>
      </c>
      <c r="C34">
        <v>22.75</v>
      </c>
    </row>
    <row r="35" spans="1:3" x14ac:dyDescent="0.3">
      <c r="A35" s="100" t="s">
        <v>96</v>
      </c>
      <c r="B35">
        <v>20</v>
      </c>
      <c r="C35">
        <v>19.45</v>
      </c>
    </row>
    <row r="36" spans="1:3" x14ac:dyDescent="0.3">
      <c r="A36" s="100"/>
      <c r="B36">
        <v>21</v>
      </c>
      <c r="C36">
        <v>18.95</v>
      </c>
    </row>
    <row r="37" spans="1:3" x14ac:dyDescent="0.3">
      <c r="A37" s="100"/>
      <c r="B37">
        <v>22</v>
      </c>
      <c r="C37">
        <v>18.52</v>
      </c>
    </row>
    <row r="38" spans="1:3" x14ac:dyDescent="0.3">
      <c r="A38" s="100"/>
      <c r="B38">
        <v>23</v>
      </c>
      <c r="C38">
        <v>17.260000000000002</v>
      </c>
    </row>
    <row r="39" spans="1:3" x14ac:dyDescent="0.3">
      <c r="A39" s="100"/>
      <c r="B39">
        <v>24</v>
      </c>
      <c r="C39">
        <v>16.59</v>
      </c>
    </row>
    <row r="40" spans="1:3" x14ac:dyDescent="0.3">
      <c r="A40" s="100"/>
      <c r="B40">
        <v>25</v>
      </c>
      <c r="C40">
        <v>15.23</v>
      </c>
    </row>
    <row r="41" spans="1:3" x14ac:dyDescent="0.3">
      <c r="A41" s="100"/>
      <c r="B41">
        <v>26</v>
      </c>
      <c r="C41">
        <v>14.52</v>
      </c>
    </row>
    <row r="42" spans="1:3" x14ac:dyDescent="0.3">
      <c r="A42" s="100"/>
      <c r="B42">
        <v>27</v>
      </c>
      <c r="C42">
        <v>14.89</v>
      </c>
    </row>
    <row r="43" spans="1:3" x14ac:dyDescent="0.3">
      <c r="A43" s="100"/>
      <c r="B43">
        <v>28</v>
      </c>
      <c r="C43">
        <v>15.56</v>
      </c>
    </row>
    <row r="44" spans="1:3" x14ac:dyDescent="0.3">
      <c r="A44" s="100"/>
      <c r="B44">
        <v>29</v>
      </c>
      <c r="C44">
        <v>15.97</v>
      </c>
    </row>
    <row r="45" spans="1:3" x14ac:dyDescent="0.3">
      <c r="A45" s="100"/>
      <c r="B45">
        <v>30</v>
      </c>
      <c r="C45">
        <v>16.86</v>
      </c>
    </row>
    <row r="46" spans="1:3" x14ac:dyDescent="0.3">
      <c r="A46" s="100" t="s">
        <v>1</v>
      </c>
      <c r="B46">
        <v>20</v>
      </c>
      <c r="C46">
        <v>20.49</v>
      </c>
    </row>
    <row r="47" spans="1:3" x14ac:dyDescent="0.3">
      <c r="A47" s="100"/>
      <c r="B47">
        <v>21</v>
      </c>
      <c r="C47">
        <v>19.57</v>
      </c>
    </row>
    <row r="48" spans="1:3" x14ac:dyDescent="0.3">
      <c r="A48" s="100"/>
      <c r="B48">
        <v>22</v>
      </c>
      <c r="C48">
        <v>18.52</v>
      </c>
    </row>
    <row r="49" spans="1:3" x14ac:dyDescent="0.3">
      <c r="A49" s="100"/>
      <c r="B49">
        <v>23</v>
      </c>
      <c r="C49">
        <v>17.52</v>
      </c>
    </row>
    <row r="50" spans="1:3" x14ac:dyDescent="0.3">
      <c r="A50" s="100"/>
      <c r="B50">
        <v>24</v>
      </c>
      <c r="C50">
        <v>16.59</v>
      </c>
    </row>
    <row r="51" spans="1:3" x14ac:dyDescent="0.3">
      <c r="A51" s="100"/>
      <c r="B51">
        <v>25</v>
      </c>
      <c r="C51">
        <v>15</v>
      </c>
    </row>
    <row r="52" spans="1:3" x14ac:dyDescent="0.3">
      <c r="A52" s="100"/>
      <c r="B52">
        <v>26</v>
      </c>
      <c r="C52">
        <v>14.52</v>
      </c>
    </row>
    <row r="53" spans="1:3" x14ac:dyDescent="0.3">
      <c r="A53" s="100"/>
      <c r="B53">
        <v>27</v>
      </c>
      <c r="C53">
        <v>14.24</v>
      </c>
    </row>
    <row r="54" spans="1:3" x14ac:dyDescent="0.3">
      <c r="A54" s="100"/>
      <c r="B54">
        <v>28</v>
      </c>
      <c r="C54">
        <v>14.22</v>
      </c>
    </row>
    <row r="55" spans="1:3" x14ac:dyDescent="0.3">
      <c r="A55" s="100"/>
      <c r="B55">
        <v>29</v>
      </c>
      <c r="C55">
        <v>14.45</v>
      </c>
    </row>
    <row r="56" spans="1:3" x14ac:dyDescent="0.3">
      <c r="A56" s="100"/>
      <c r="B56">
        <v>30</v>
      </c>
      <c r="C56">
        <v>15</v>
      </c>
    </row>
    <row r="57" spans="1:3" x14ac:dyDescent="0.3">
      <c r="A57" s="100" t="s">
        <v>2</v>
      </c>
      <c r="B57">
        <v>20</v>
      </c>
      <c r="C57">
        <v>25.36</v>
      </c>
    </row>
    <row r="58" spans="1:3" x14ac:dyDescent="0.3">
      <c r="A58" s="100"/>
      <c r="B58">
        <v>21</v>
      </c>
      <c r="C58">
        <v>25.19</v>
      </c>
    </row>
    <row r="59" spans="1:3" x14ac:dyDescent="0.3">
      <c r="A59" s="100"/>
      <c r="B59">
        <v>22</v>
      </c>
      <c r="C59">
        <v>24.9</v>
      </c>
    </row>
    <row r="60" spans="1:3" x14ac:dyDescent="0.3">
      <c r="A60" s="100"/>
      <c r="B60">
        <v>23</v>
      </c>
      <c r="C60">
        <v>23.97</v>
      </c>
    </row>
    <row r="61" spans="1:3" x14ac:dyDescent="0.3">
      <c r="A61" s="100"/>
      <c r="B61">
        <v>24</v>
      </c>
      <c r="C61">
        <v>23.88</v>
      </c>
    </row>
    <row r="62" spans="1:3" x14ac:dyDescent="0.3">
      <c r="A62" s="100"/>
      <c r="B62">
        <v>25</v>
      </c>
      <c r="C62">
        <v>23.73</v>
      </c>
    </row>
    <row r="63" spans="1:3" x14ac:dyDescent="0.3">
      <c r="A63" s="100"/>
      <c r="B63">
        <v>26</v>
      </c>
      <c r="C63">
        <v>23.4</v>
      </c>
    </row>
    <row r="64" spans="1:3" x14ac:dyDescent="0.3">
      <c r="A64" s="100"/>
      <c r="B64">
        <v>27</v>
      </c>
      <c r="C64">
        <v>23.51</v>
      </c>
    </row>
    <row r="65" spans="1:3" x14ac:dyDescent="0.3">
      <c r="A65" s="100"/>
      <c r="B65">
        <v>28</v>
      </c>
      <c r="C65">
        <v>23.62</v>
      </c>
    </row>
    <row r="66" spans="1:3" x14ac:dyDescent="0.3">
      <c r="A66" s="100"/>
      <c r="B66">
        <v>29</v>
      </c>
      <c r="C66">
        <v>23.73</v>
      </c>
    </row>
    <row r="67" spans="1:3" x14ac:dyDescent="0.3">
      <c r="A67" s="100"/>
      <c r="B67">
        <v>30</v>
      </c>
      <c r="C67">
        <v>23.87</v>
      </c>
    </row>
    <row r="68" spans="1:3" x14ac:dyDescent="0.3">
      <c r="A68" s="100" t="s">
        <v>97</v>
      </c>
      <c r="B68">
        <v>20</v>
      </c>
      <c r="C68">
        <v>18.54</v>
      </c>
    </row>
    <row r="69" spans="1:3" x14ac:dyDescent="0.3">
      <c r="A69" s="100"/>
      <c r="B69">
        <v>21</v>
      </c>
      <c r="C69">
        <v>17.98</v>
      </c>
    </row>
    <row r="70" spans="1:3" x14ac:dyDescent="0.3">
      <c r="A70" s="100"/>
      <c r="B70">
        <v>22</v>
      </c>
      <c r="C70">
        <v>17.649999999999999</v>
      </c>
    </row>
    <row r="71" spans="1:3" x14ac:dyDescent="0.3">
      <c r="A71" s="100"/>
      <c r="B71">
        <v>23</v>
      </c>
      <c r="C71">
        <v>17.13</v>
      </c>
    </row>
    <row r="72" spans="1:3" x14ac:dyDescent="0.3">
      <c r="A72" s="100"/>
      <c r="B72">
        <v>24</v>
      </c>
      <c r="C72">
        <v>16.45</v>
      </c>
    </row>
    <row r="73" spans="1:3" x14ac:dyDescent="0.3">
      <c r="A73" s="100"/>
      <c r="B73">
        <v>25</v>
      </c>
      <c r="C73">
        <v>15.36</v>
      </c>
    </row>
    <row r="74" spans="1:3" x14ac:dyDescent="0.3">
      <c r="A74" s="100"/>
      <c r="B74">
        <v>26</v>
      </c>
      <c r="C74">
        <v>14.69</v>
      </c>
    </row>
    <row r="75" spans="1:3" x14ac:dyDescent="0.3">
      <c r="A75" s="100"/>
      <c r="B75">
        <v>27</v>
      </c>
      <c r="C75">
        <v>14.95</v>
      </c>
    </row>
    <row r="76" spans="1:3" x14ac:dyDescent="0.3">
      <c r="A76" s="100"/>
      <c r="B76">
        <v>28</v>
      </c>
      <c r="C76">
        <v>15.65</v>
      </c>
    </row>
    <row r="77" spans="1:3" x14ac:dyDescent="0.3">
      <c r="A77" s="100"/>
      <c r="B77">
        <v>29</v>
      </c>
      <c r="C77">
        <v>16.23</v>
      </c>
    </row>
    <row r="78" spans="1:3" x14ac:dyDescent="0.3">
      <c r="A78" s="100"/>
      <c r="B78">
        <v>30</v>
      </c>
      <c r="C78">
        <v>16.86</v>
      </c>
    </row>
    <row r="79" spans="1:3" x14ac:dyDescent="0.3">
      <c r="A79" s="100" t="s">
        <v>3</v>
      </c>
      <c r="B79">
        <v>20</v>
      </c>
      <c r="C79">
        <v>19.86</v>
      </c>
    </row>
    <row r="80" spans="1:3" x14ac:dyDescent="0.3">
      <c r="A80" s="100"/>
      <c r="B80">
        <v>21</v>
      </c>
      <c r="C80">
        <v>19.23</v>
      </c>
    </row>
    <row r="81" spans="1:3" x14ac:dyDescent="0.3">
      <c r="A81" s="100"/>
      <c r="B81">
        <v>22</v>
      </c>
      <c r="C81">
        <v>18.52</v>
      </c>
    </row>
    <row r="82" spans="1:3" x14ac:dyDescent="0.3">
      <c r="A82" s="100"/>
      <c r="B82">
        <v>23</v>
      </c>
      <c r="C82">
        <v>17.760000000000002</v>
      </c>
    </row>
    <row r="83" spans="1:3" x14ac:dyDescent="0.3">
      <c r="A83" s="100"/>
      <c r="B83">
        <v>24</v>
      </c>
      <c r="C83">
        <v>16.64</v>
      </c>
    </row>
    <row r="84" spans="1:3" x14ac:dyDescent="0.3">
      <c r="A84" s="100"/>
      <c r="B84">
        <v>25</v>
      </c>
      <c r="C84">
        <v>15.26</v>
      </c>
    </row>
    <row r="85" spans="1:3" x14ac:dyDescent="0.3">
      <c r="A85" s="100"/>
      <c r="B85">
        <v>26</v>
      </c>
      <c r="C85">
        <v>15.56</v>
      </c>
    </row>
    <row r="86" spans="1:3" x14ac:dyDescent="0.3">
      <c r="A86" s="100"/>
      <c r="B86">
        <v>27</v>
      </c>
      <c r="C86">
        <v>16.02</v>
      </c>
    </row>
    <row r="87" spans="1:3" x14ac:dyDescent="0.3">
      <c r="A87" s="100"/>
      <c r="B87">
        <v>28</v>
      </c>
      <c r="C87">
        <v>16.86</v>
      </c>
    </row>
    <row r="88" spans="1:3" x14ac:dyDescent="0.3">
      <c r="A88" s="100"/>
      <c r="B88">
        <v>29</v>
      </c>
      <c r="C88">
        <v>17.16</v>
      </c>
    </row>
    <row r="89" spans="1:3" x14ac:dyDescent="0.3">
      <c r="A89" s="100"/>
      <c r="B89">
        <v>30</v>
      </c>
      <c r="C89">
        <v>17.690000000000001</v>
      </c>
    </row>
    <row r="90" spans="1:3" x14ac:dyDescent="0.3">
      <c r="A90" s="100" t="s">
        <v>4</v>
      </c>
      <c r="B90">
        <v>20</v>
      </c>
      <c r="C90">
        <v>24.81</v>
      </c>
    </row>
    <row r="91" spans="1:3" x14ac:dyDescent="0.3">
      <c r="A91" s="100"/>
      <c r="B91">
        <v>21</v>
      </c>
      <c r="C91">
        <v>24.36</v>
      </c>
    </row>
    <row r="92" spans="1:3" x14ac:dyDescent="0.3">
      <c r="A92" s="100"/>
      <c r="B92">
        <v>22</v>
      </c>
      <c r="C92">
        <v>23.67</v>
      </c>
    </row>
    <row r="93" spans="1:3" x14ac:dyDescent="0.3">
      <c r="A93" s="100"/>
      <c r="B93">
        <v>23</v>
      </c>
      <c r="C93">
        <v>23.16</v>
      </c>
    </row>
    <row r="94" spans="1:3" x14ac:dyDescent="0.3">
      <c r="A94" s="100"/>
      <c r="B94">
        <v>24</v>
      </c>
      <c r="C94">
        <v>22.69</v>
      </c>
    </row>
    <row r="95" spans="1:3" x14ac:dyDescent="0.3">
      <c r="A95" s="100"/>
      <c r="B95">
        <v>25</v>
      </c>
      <c r="C95">
        <v>22.06</v>
      </c>
    </row>
    <row r="96" spans="1:3" x14ac:dyDescent="0.3">
      <c r="A96" s="100"/>
      <c r="B96">
        <v>26</v>
      </c>
      <c r="C96">
        <v>23.49</v>
      </c>
    </row>
    <row r="97" spans="1:3" x14ac:dyDescent="0.3">
      <c r="A97" s="100"/>
      <c r="B97">
        <v>27</v>
      </c>
      <c r="C97">
        <v>23.91</v>
      </c>
    </row>
    <row r="98" spans="1:3" x14ac:dyDescent="0.3">
      <c r="A98" s="100"/>
      <c r="B98">
        <v>28</v>
      </c>
      <c r="C98">
        <v>24.24</v>
      </c>
    </row>
    <row r="99" spans="1:3" x14ac:dyDescent="0.3">
      <c r="A99" s="100"/>
      <c r="B99">
        <v>29</v>
      </c>
      <c r="C99">
        <v>24.98</v>
      </c>
    </row>
    <row r="100" spans="1:3" x14ac:dyDescent="0.3">
      <c r="A100" s="100"/>
      <c r="B100">
        <v>30</v>
      </c>
      <c r="C100">
        <v>25.26</v>
      </c>
    </row>
  </sheetData>
  <mergeCells count="9">
    <mergeCell ref="A2:A12"/>
    <mergeCell ref="A68:A78"/>
    <mergeCell ref="A79:A89"/>
    <mergeCell ref="A90:A100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workbookViewId="0">
      <selection activeCell="M43" sqref="M43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100" t="s">
        <v>94</v>
      </c>
      <c r="B2">
        <v>20</v>
      </c>
      <c r="C2">
        <v>16.22</v>
      </c>
    </row>
    <row r="3" spans="1:3" x14ac:dyDescent="0.3">
      <c r="A3" s="100"/>
      <c r="B3">
        <v>21</v>
      </c>
      <c r="C3">
        <v>15.85</v>
      </c>
    </row>
    <row r="4" spans="1:3" x14ac:dyDescent="0.3">
      <c r="A4" s="100"/>
      <c r="B4">
        <v>22</v>
      </c>
      <c r="C4">
        <v>15.34</v>
      </c>
    </row>
    <row r="5" spans="1:3" x14ac:dyDescent="0.3">
      <c r="A5" s="100"/>
      <c r="B5">
        <v>23</v>
      </c>
      <c r="C5">
        <v>15.12</v>
      </c>
    </row>
    <row r="6" spans="1:3" x14ac:dyDescent="0.3">
      <c r="A6" s="100"/>
      <c r="B6">
        <v>24</v>
      </c>
      <c r="C6">
        <v>14.9</v>
      </c>
    </row>
    <row r="7" spans="1:3" x14ac:dyDescent="0.3">
      <c r="A7" s="100"/>
      <c r="B7">
        <v>25</v>
      </c>
      <c r="C7">
        <v>14.58</v>
      </c>
    </row>
    <row r="8" spans="1:3" x14ac:dyDescent="0.3">
      <c r="A8" s="100"/>
      <c r="B8">
        <v>26</v>
      </c>
      <c r="C8">
        <v>14.04</v>
      </c>
    </row>
    <row r="9" spans="1:3" x14ac:dyDescent="0.3">
      <c r="A9" s="100"/>
      <c r="B9">
        <v>27</v>
      </c>
      <c r="C9">
        <v>14.82</v>
      </c>
    </row>
    <row r="10" spans="1:3" x14ac:dyDescent="0.3">
      <c r="A10" s="100"/>
      <c r="B10">
        <v>28</v>
      </c>
      <c r="C10">
        <v>15.28</v>
      </c>
    </row>
    <row r="11" spans="1:3" x14ac:dyDescent="0.3">
      <c r="A11" s="100"/>
      <c r="B11">
        <v>29</v>
      </c>
      <c r="C11">
        <v>15.74</v>
      </c>
    </row>
    <row r="12" spans="1:3" x14ac:dyDescent="0.3">
      <c r="A12" s="100"/>
      <c r="B12">
        <v>30</v>
      </c>
      <c r="C12">
        <v>16.18</v>
      </c>
    </row>
    <row r="13" spans="1:3" x14ac:dyDescent="0.3">
      <c r="A13" s="100" t="s">
        <v>0</v>
      </c>
      <c r="B13">
        <v>20</v>
      </c>
      <c r="C13">
        <v>18.5</v>
      </c>
    </row>
    <row r="14" spans="1:3" x14ac:dyDescent="0.3">
      <c r="A14" s="100"/>
      <c r="B14">
        <v>21</v>
      </c>
      <c r="C14">
        <v>17.96</v>
      </c>
    </row>
    <row r="15" spans="1:3" x14ac:dyDescent="0.3">
      <c r="A15" s="100"/>
      <c r="B15">
        <v>22</v>
      </c>
      <c r="C15">
        <v>17.11</v>
      </c>
    </row>
    <row r="16" spans="1:3" x14ac:dyDescent="0.3">
      <c r="A16" s="100"/>
      <c r="B16">
        <v>23</v>
      </c>
      <c r="C16">
        <v>16.5</v>
      </c>
    </row>
    <row r="17" spans="1:3" x14ac:dyDescent="0.3">
      <c r="A17" s="100"/>
      <c r="B17">
        <v>24</v>
      </c>
      <c r="C17">
        <v>15.8</v>
      </c>
    </row>
    <row r="18" spans="1:3" x14ac:dyDescent="0.3">
      <c r="A18" s="100"/>
      <c r="B18">
        <v>25</v>
      </c>
      <c r="C18">
        <v>15.42</v>
      </c>
    </row>
    <row r="19" spans="1:3" x14ac:dyDescent="0.3">
      <c r="A19" s="100"/>
      <c r="B19">
        <v>26</v>
      </c>
      <c r="C19">
        <v>14.91</v>
      </c>
    </row>
    <row r="20" spans="1:3" x14ac:dyDescent="0.3">
      <c r="A20" s="100"/>
      <c r="B20">
        <v>27</v>
      </c>
      <c r="C20">
        <v>15.34</v>
      </c>
    </row>
    <row r="21" spans="1:3" x14ac:dyDescent="0.3">
      <c r="A21" s="100"/>
      <c r="B21">
        <v>28</v>
      </c>
      <c r="C21">
        <v>15.93</v>
      </c>
    </row>
    <row r="22" spans="1:3" x14ac:dyDescent="0.3">
      <c r="A22" s="100"/>
      <c r="B22">
        <v>29</v>
      </c>
      <c r="C22">
        <v>16.48</v>
      </c>
    </row>
    <row r="23" spans="1:3" x14ac:dyDescent="0.3">
      <c r="A23" s="100"/>
      <c r="B23">
        <v>30</v>
      </c>
      <c r="C23">
        <v>17.02</v>
      </c>
    </row>
    <row r="24" spans="1:3" x14ac:dyDescent="0.3">
      <c r="A24" s="100" t="s">
        <v>6</v>
      </c>
      <c r="B24">
        <v>20</v>
      </c>
      <c r="C24">
        <v>23.16</v>
      </c>
    </row>
    <row r="25" spans="1:3" x14ac:dyDescent="0.3">
      <c r="A25" s="100"/>
      <c r="B25">
        <v>21</v>
      </c>
      <c r="C25">
        <v>22.85</v>
      </c>
    </row>
    <row r="26" spans="1:3" x14ac:dyDescent="0.3">
      <c r="A26" s="100"/>
      <c r="B26">
        <v>22</v>
      </c>
      <c r="C26">
        <v>22.66</v>
      </c>
    </row>
    <row r="27" spans="1:3" x14ac:dyDescent="0.3">
      <c r="A27" s="100"/>
      <c r="B27">
        <v>23</v>
      </c>
      <c r="C27">
        <v>22.43</v>
      </c>
    </row>
    <row r="28" spans="1:3" x14ac:dyDescent="0.3">
      <c r="A28" s="100"/>
      <c r="B28">
        <v>24</v>
      </c>
      <c r="C28">
        <v>22.08</v>
      </c>
    </row>
    <row r="29" spans="1:3" x14ac:dyDescent="0.3">
      <c r="A29" s="100"/>
      <c r="B29">
        <v>25</v>
      </c>
      <c r="C29">
        <v>21.39</v>
      </c>
    </row>
    <row r="30" spans="1:3" x14ac:dyDescent="0.3">
      <c r="A30" s="100"/>
      <c r="B30">
        <v>26</v>
      </c>
      <c r="C30">
        <v>21.53</v>
      </c>
    </row>
    <row r="31" spans="1:3" x14ac:dyDescent="0.3">
      <c r="A31" s="100"/>
      <c r="B31">
        <v>27</v>
      </c>
      <c r="C31">
        <v>21.83</v>
      </c>
    </row>
    <row r="32" spans="1:3" x14ac:dyDescent="0.3">
      <c r="A32" s="100"/>
      <c r="B32">
        <v>28</v>
      </c>
      <c r="C32">
        <v>21.91</v>
      </c>
    </row>
    <row r="33" spans="1:3" x14ac:dyDescent="0.3">
      <c r="A33" s="100"/>
      <c r="B33">
        <v>29</v>
      </c>
      <c r="C33">
        <v>22.32</v>
      </c>
    </row>
    <row r="34" spans="1:3" x14ac:dyDescent="0.3">
      <c r="A34" s="100"/>
      <c r="B34">
        <v>30</v>
      </c>
      <c r="C34">
        <v>22.75</v>
      </c>
    </row>
    <row r="35" spans="1:3" x14ac:dyDescent="0.3">
      <c r="A35" s="100" t="s">
        <v>96</v>
      </c>
      <c r="B35">
        <v>20</v>
      </c>
      <c r="C35">
        <v>19.45</v>
      </c>
    </row>
    <row r="36" spans="1:3" x14ac:dyDescent="0.3">
      <c r="A36" s="100"/>
      <c r="B36">
        <v>21</v>
      </c>
      <c r="C36">
        <v>18.95</v>
      </c>
    </row>
    <row r="37" spans="1:3" x14ac:dyDescent="0.3">
      <c r="A37" s="100"/>
      <c r="B37">
        <v>22</v>
      </c>
      <c r="C37">
        <v>18.52</v>
      </c>
    </row>
    <row r="38" spans="1:3" x14ac:dyDescent="0.3">
      <c r="A38" s="100"/>
      <c r="B38">
        <v>23</v>
      </c>
      <c r="C38">
        <v>17.260000000000002</v>
      </c>
    </row>
    <row r="39" spans="1:3" x14ac:dyDescent="0.3">
      <c r="A39" s="100"/>
      <c r="B39">
        <v>24</v>
      </c>
      <c r="C39">
        <v>16.59</v>
      </c>
    </row>
    <row r="40" spans="1:3" x14ac:dyDescent="0.3">
      <c r="A40" s="100"/>
      <c r="B40">
        <v>25</v>
      </c>
      <c r="C40">
        <v>15.23</v>
      </c>
    </row>
    <row r="41" spans="1:3" x14ac:dyDescent="0.3">
      <c r="A41" s="100"/>
      <c r="B41">
        <v>26</v>
      </c>
      <c r="C41">
        <v>14.52</v>
      </c>
    </row>
    <row r="42" spans="1:3" x14ac:dyDescent="0.3">
      <c r="A42" s="100"/>
      <c r="B42">
        <v>27</v>
      </c>
      <c r="C42">
        <v>14.89</v>
      </c>
    </row>
    <row r="43" spans="1:3" x14ac:dyDescent="0.3">
      <c r="A43" s="100"/>
      <c r="B43">
        <v>28</v>
      </c>
      <c r="C43">
        <v>15.56</v>
      </c>
    </row>
    <row r="44" spans="1:3" x14ac:dyDescent="0.3">
      <c r="A44" s="100"/>
      <c r="B44">
        <v>29</v>
      </c>
      <c r="C44">
        <v>15.97</v>
      </c>
    </row>
    <row r="45" spans="1:3" x14ac:dyDescent="0.3">
      <c r="A45" s="100"/>
      <c r="B45">
        <v>30</v>
      </c>
      <c r="C45">
        <v>16.86</v>
      </c>
    </row>
    <row r="46" spans="1:3" x14ac:dyDescent="0.3">
      <c r="A46" s="100" t="s">
        <v>1</v>
      </c>
      <c r="B46">
        <v>20</v>
      </c>
      <c r="C46">
        <v>20.49</v>
      </c>
    </row>
    <row r="47" spans="1:3" x14ac:dyDescent="0.3">
      <c r="A47" s="100"/>
      <c r="B47">
        <v>21</v>
      </c>
      <c r="C47">
        <v>19.57</v>
      </c>
    </row>
    <row r="48" spans="1:3" x14ac:dyDescent="0.3">
      <c r="A48" s="100"/>
      <c r="B48">
        <v>22</v>
      </c>
      <c r="C48">
        <v>18.52</v>
      </c>
    </row>
    <row r="49" spans="1:3" x14ac:dyDescent="0.3">
      <c r="A49" s="100"/>
      <c r="B49">
        <v>23</v>
      </c>
      <c r="C49">
        <v>17.52</v>
      </c>
    </row>
    <row r="50" spans="1:3" x14ac:dyDescent="0.3">
      <c r="A50" s="100"/>
      <c r="B50">
        <v>24</v>
      </c>
      <c r="C50">
        <v>16.59</v>
      </c>
    </row>
    <row r="51" spans="1:3" x14ac:dyDescent="0.3">
      <c r="A51" s="100"/>
      <c r="B51">
        <v>25</v>
      </c>
      <c r="C51">
        <v>15</v>
      </c>
    </row>
    <row r="52" spans="1:3" x14ac:dyDescent="0.3">
      <c r="A52" s="100"/>
      <c r="B52">
        <v>26</v>
      </c>
      <c r="C52">
        <v>14.52</v>
      </c>
    </row>
    <row r="53" spans="1:3" x14ac:dyDescent="0.3">
      <c r="A53" s="100"/>
      <c r="B53">
        <v>27</v>
      </c>
      <c r="C53">
        <v>14.24</v>
      </c>
    </row>
    <row r="54" spans="1:3" x14ac:dyDescent="0.3">
      <c r="A54" s="100"/>
      <c r="B54">
        <v>28</v>
      </c>
      <c r="C54">
        <v>14.22</v>
      </c>
    </row>
    <row r="55" spans="1:3" x14ac:dyDescent="0.3">
      <c r="A55" s="100"/>
      <c r="B55">
        <v>29</v>
      </c>
      <c r="C55">
        <v>14.45</v>
      </c>
    </row>
    <row r="56" spans="1:3" x14ac:dyDescent="0.3">
      <c r="A56" s="100"/>
      <c r="B56">
        <v>30</v>
      </c>
      <c r="C56">
        <v>15</v>
      </c>
    </row>
    <row r="57" spans="1:3" x14ac:dyDescent="0.3">
      <c r="A57" s="100" t="s">
        <v>2</v>
      </c>
      <c r="B57">
        <v>20</v>
      </c>
      <c r="C57">
        <v>25.36</v>
      </c>
    </row>
    <row r="58" spans="1:3" x14ac:dyDescent="0.3">
      <c r="A58" s="100"/>
      <c r="B58">
        <v>21</v>
      </c>
      <c r="C58">
        <v>25.19</v>
      </c>
    </row>
    <row r="59" spans="1:3" x14ac:dyDescent="0.3">
      <c r="A59" s="100"/>
      <c r="B59">
        <v>22</v>
      </c>
      <c r="C59">
        <v>24.9</v>
      </c>
    </row>
    <row r="60" spans="1:3" x14ac:dyDescent="0.3">
      <c r="A60" s="100"/>
      <c r="B60">
        <v>23</v>
      </c>
      <c r="C60">
        <v>23.97</v>
      </c>
    </row>
    <row r="61" spans="1:3" x14ac:dyDescent="0.3">
      <c r="A61" s="100"/>
      <c r="B61">
        <v>24</v>
      </c>
      <c r="C61">
        <v>23.88</v>
      </c>
    </row>
    <row r="62" spans="1:3" x14ac:dyDescent="0.3">
      <c r="A62" s="100"/>
      <c r="B62">
        <v>25</v>
      </c>
      <c r="C62">
        <v>23.73</v>
      </c>
    </row>
    <row r="63" spans="1:3" x14ac:dyDescent="0.3">
      <c r="A63" s="100"/>
      <c r="B63">
        <v>26</v>
      </c>
      <c r="C63">
        <v>23.4</v>
      </c>
    </row>
    <row r="64" spans="1:3" x14ac:dyDescent="0.3">
      <c r="A64" s="100"/>
      <c r="B64">
        <v>27</v>
      </c>
      <c r="C64">
        <v>23.51</v>
      </c>
    </row>
    <row r="65" spans="1:3" x14ac:dyDescent="0.3">
      <c r="A65" s="100"/>
      <c r="B65">
        <v>28</v>
      </c>
      <c r="C65">
        <v>23.62</v>
      </c>
    </row>
    <row r="66" spans="1:3" x14ac:dyDescent="0.3">
      <c r="A66" s="100"/>
      <c r="B66">
        <v>29</v>
      </c>
      <c r="C66">
        <v>23.73</v>
      </c>
    </row>
    <row r="67" spans="1:3" x14ac:dyDescent="0.3">
      <c r="A67" s="100"/>
      <c r="B67">
        <v>30</v>
      </c>
      <c r="C67">
        <v>23.87</v>
      </c>
    </row>
    <row r="68" spans="1:3" x14ac:dyDescent="0.3">
      <c r="A68" s="100" t="s">
        <v>97</v>
      </c>
      <c r="B68">
        <v>20</v>
      </c>
      <c r="C68">
        <v>18.54</v>
      </c>
    </row>
    <row r="69" spans="1:3" x14ac:dyDescent="0.3">
      <c r="A69" s="100"/>
      <c r="B69">
        <v>21</v>
      </c>
      <c r="C69">
        <v>17.98</v>
      </c>
    </row>
    <row r="70" spans="1:3" x14ac:dyDescent="0.3">
      <c r="A70" s="100"/>
      <c r="B70">
        <v>22</v>
      </c>
      <c r="C70">
        <v>17.649999999999999</v>
      </c>
    </row>
    <row r="71" spans="1:3" x14ac:dyDescent="0.3">
      <c r="A71" s="100"/>
      <c r="B71">
        <v>23</v>
      </c>
      <c r="C71">
        <v>17.13</v>
      </c>
    </row>
    <row r="72" spans="1:3" x14ac:dyDescent="0.3">
      <c r="A72" s="100"/>
      <c r="B72">
        <v>24</v>
      </c>
      <c r="C72">
        <v>16.45</v>
      </c>
    </row>
    <row r="73" spans="1:3" x14ac:dyDescent="0.3">
      <c r="A73" s="100"/>
      <c r="B73">
        <v>25</v>
      </c>
      <c r="C73">
        <v>15.36</v>
      </c>
    </row>
    <row r="74" spans="1:3" x14ac:dyDescent="0.3">
      <c r="A74" s="100"/>
      <c r="B74">
        <v>26</v>
      </c>
      <c r="C74">
        <v>14.69</v>
      </c>
    </row>
    <row r="75" spans="1:3" x14ac:dyDescent="0.3">
      <c r="A75" s="100"/>
      <c r="B75">
        <v>27</v>
      </c>
      <c r="C75">
        <v>14.95</v>
      </c>
    </row>
    <row r="76" spans="1:3" x14ac:dyDescent="0.3">
      <c r="A76" s="100"/>
      <c r="B76">
        <v>28</v>
      </c>
      <c r="C76">
        <v>15.65</v>
      </c>
    </row>
    <row r="77" spans="1:3" x14ac:dyDescent="0.3">
      <c r="A77" s="100"/>
      <c r="B77">
        <v>29</v>
      </c>
      <c r="C77">
        <v>16.23</v>
      </c>
    </row>
    <row r="78" spans="1:3" x14ac:dyDescent="0.3">
      <c r="A78" s="100"/>
      <c r="B78">
        <v>30</v>
      </c>
      <c r="C78">
        <v>16.86</v>
      </c>
    </row>
    <row r="79" spans="1:3" x14ac:dyDescent="0.3">
      <c r="A79" s="100" t="s">
        <v>3</v>
      </c>
      <c r="B79">
        <v>20</v>
      </c>
      <c r="C79">
        <v>19.86</v>
      </c>
    </row>
    <row r="80" spans="1:3" x14ac:dyDescent="0.3">
      <c r="A80" s="100"/>
      <c r="B80">
        <v>21</v>
      </c>
      <c r="C80">
        <v>19.23</v>
      </c>
    </row>
    <row r="81" spans="1:3" x14ac:dyDescent="0.3">
      <c r="A81" s="100"/>
      <c r="B81">
        <v>22</v>
      </c>
      <c r="C81">
        <v>18.52</v>
      </c>
    </row>
    <row r="82" spans="1:3" x14ac:dyDescent="0.3">
      <c r="A82" s="100"/>
      <c r="B82">
        <v>23</v>
      </c>
      <c r="C82">
        <v>17.760000000000002</v>
      </c>
    </row>
    <row r="83" spans="1:3" x14ac:dyDescent="0.3">
      <c r="A83" s="100"/>
      <c r="B83">
        <v>24</v>
      </c>
      <c r="C83">
        <v>16.64</v>
      </c>
    </row>
    <row r="84" spans="1:3" x14ac:dyDescent="0.3">
      <c r="A84" s="100"/>
      <c r="B84">
        <v>25</v>
      </c>
      <c r="C84">
        <v>15.26</v>
      </c>
    </row>
    <row r="85" spans="1:3" x14ac:dyDescent="0.3">
      <c r="A85" s="100"/>
      <c r="B85">
        <v>26</v>
      </c>
      <c r="C85">
        <v>15.56</v>
      </c>
    </row>
    <row r="86" spans="1:3" x14ac:dyDescent="0.3">
      <c r="A86" s="100"/>
      <c r="B86">
        <v>27</v>
      </c>
      <c r="C86">
        <v>16.02</v>
      </c>
    </row>
    <row r="87" spans="1:3" x14ac:dyDescent="0.3">
      <c r="A87" s="100"/>
      <c r="B87">
        <v>28</v>
      </c>
      <c r="C87">
        <v>16.86</v>
      </c>
    </row>
    <row r="88" spans="1:3" x14ac:dyDescent="0.3">
      <c r="A88" s="100"/>
      <c r="B88">
        <v>29</v>
      </c>
      <c r="C88">
        <v>17.16</v>
      </c>
    </row>
    <row r="89" spans="1:3" x14ac:dyDescent="0.3">
      <c r="A89" s="100"/>
      <c r="B89">
        <v>30</v>
      </c>
      <c r="C89">
        <v>17.690000000000001</v>
      </c>
    </row>
    <row r="90" spans="1:3" x14ac:dyDescent="0.3">
      <c r="A90" s="100" t="s">
        <v>4</v>
      </c>
      <c r="B90">
        <v>20</v>
      </c>
      <c r="C90">
        <v>24.81</v>
      </c>
    </row>
    <row r="91" spans="1:3" x14ac:dyDescent="0.3">
      <c r="A91" s="100"/>
      <c r="B91">
        <v>21</v>
      </c>
      <c r="C91">
        <v>24.36</v>
      </c>
    </row>
    <row r="92" spans="1:3" x14ac:dyDescent="0.3">
      <c r="A92" s="100"/>
      <c r="B92">
        <v>22</v>
      </c>
      <c r="C92">
        <v>23.67</v>
      </c>
    </row>
    <row r="93" spans="1:3" x14ac:dyDescent="0.3">
      <c r="A93" s="100"/>
      <c r="B93">
        <v>23</v>
      </c>
      <c r="C93">
        <v>23.16</v>
      </c>
    </row>
    <row r="94" spans="1:3" x14ac:dyDescent="0.3">
      <c r="A94" s="100"/>
      <c r="B94">
        <v>24</v>
      </c>
      <c r="C94">
        <v>22.69</v>
      </c>
    </row>
    <row r="95" spans="1:3" x14ac:dyDescent="0.3">
      <c r="A95" s="100"/>
      <c r="B95">
        <v>25</v>
      </c>
      <c r="C95">
        <v>22.06</v>
      </c>
    </row>
    <row r="96" spans="1:3" x14ac:dyDescent="0.3">
      <c r="A96" s="100"/>
      <c r="B96">
        <v>26</v>
      </c>
      <c r="C96">
        <v>23.49</v>
      </c>
    </row>
    <row r="97" spans="1:3" x14ac:dyDescent="0.3">
      <c r="A97" s="100"/>
      <c r="B97">
        <v>27</v>
      </c>
      <c r="C97">
        <v>23.91</v>
      </c>
    </row>
    <row r="98" spans="1:3" x14ac:dyDescent="0.3">
      <c r="A98" s="100"/>
      <c r="B98">
        <v>28</v>
      </c>
      <c r="C98">
        <v>24.24</v>
      </c>
    </row>
    <row r="99" spans="1:3" x14ac:dyDescent="0.3">
      <c r="A99" s="100"/>
      <c r="B99">
        <v>29</v>
      </c>
      <c r="C99">
        <v>24.98</v>
      </c>
    </row>
    <row r="100" spans="1:3" x14ac:dyDescent="0.3">
      <c r="A100" s="100"/>
      <c r="B100">
        <v>30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B4C89-CBBD-485D-BE79-2979359B89ED}">
  <dimension ref="A1:O22"/>
  <sheetViews>
    <sheetView topLeftCell="F1" workbookViewId="0">
      <selection activeCell="N19" sqref="N19"/>
    </sheetView>
  </sheetViews>
  <sheetFormatPr defaultRowHeight="14.4" x14ac:dyDescent="0.3"/>
  <cols>
    <col min="2" max="2" width="11.109375" bestFit="1" customWidth="1"/>
    <col min="3" max="3" width="12.21875" bestFit="1" customWidth="1"/>
    <col min="4" max="5" width="9.5546875" bestFit="1" customWidth="1"/>
    <col min="7" max="7" width="12" bestFit="1" customWidth="1"/>
    <col min="8" max="8" width="8.21875" bestFit="1" customWidth="1"/>
    <col min="9" max="9" width="10" bestFit="1" customWidth="1"/>
    <col min="10" max="10" width="8.21875" bestFit="1" customWidth="1"/>
    <col min="13" max="13" width="10.77734375" bestFit="1" customWidth="1"/>
    <col min="14" max="14" width="12.109375" bestFit="1" customWidth="1"/>
    <col min="15" max="16" width="12.109375" customWidth="1"/>
    <col min="18" max="19" width="12.109375" bestFit="1" customWidth="1"/>
  </cols>
  <sheetData>
    <row r="1" spans="1:15" x14ac:dyDescent="0.3">
      <c r="A1" s="78" t="s">
        <v>184</v>
      </c>
      <c r="B1" s="78"/>
      <c r="C1" s="78"/>
      <c r="D1" s="78"/>
      <c r="E1" s="78"/>
      <c r="G1" s="78" t="s">
        <v>185</v>
      </c>
      <c r="H1" s="78"/>
      <c r="I1" s="78"/>
      <c r="J1" s="78"/>
      <c r="L1" s="78" t="s">
        <v>186</v>
      </c>
      <c r="M1" s="78"/>
      <c r="N1" s="78"/>
      <c r="O1" s="78"/>
    </row>
    <row r="2" spans="1:15" x14ac:dyDescent="0.3">
      <c r="B2" s="78" t="s">
        <v>129</v>
      </c>
      <c r="C2" s="78"/>
      <c r="D2" s="78" t="s">
        <v>130</v>
      </c>
      <c r="E2" s="78"/>
      <c r="G2" s="78" t="s">
        <v>129</v>
      </c>
      <c r="H2" s="78"/>
      <c r="I2" s="78" t="s">
        <v>130</v>
      </c>
      <c r="J2" s="78"/>
      <c r="L2" s="78" t="s">
        <v>129</v>
      </c>
      <c r="M2" s="78"/>
      <c r="N2" s="78" t="s">
        <v>130</v>
      </c>
      <c r="O2" s="78"/>
    </row>
    <row r="3" spans="1:15" x14ac:dyDescent="0.3">
      <c r="B3">
        <v>9.2443400000000002E-3</v>
      </c>
      <c r="C3">
        <v>2.4172399999999999E-4</v>
      </c>
      <c r="D3">
        <v>0.84126500000000004</v>
      </c>
      <c r="E3">
        <v>2.1060099999999998E-2</v>
      </c>
      <c r="G3">
        <v>1.7802000000000001E-4</v>
      </c>
      <c r="H3" s="71">
        <v>4.8096200000000002E-9</v>
      </c>
      <c r="I3">
        <v>9.5238000000000003E-2</v>
      </c>
      <c r="J3" s="71">
        <v>5.9040699999999999E-5</v>
      </c>
      <c r="L3">
        <v>1.4288599999999999E-3</v>
      </c>
      <c r="M3" s="71">
        <v>2.87826E-7</v>
      </c>
      <c r="N3">
        <v>0.21718299999999999</v>
      </c>
      <c r="O3">
        <v>2.1989399999999999E-4</v>
      </c>
    </row>
    <row r="4" spans="1:15" x14ac:dyDescent="0.3">
      <c r="B4">
        <v>9.2639200000000001E-3</v>
      </c>
      <c r="C4">
        <v>2.3709600000000001E-4</v>
      </c>
      <c r="D4">
        <v>0.834955</v>
      </c>
      <c r="E4">
        <v>2.04908E-2</v>
      </c>
      <c r="G4">
        <v>1.79221E-4</v>
      </c>
      <c r="H4" s="71">
        <v>5.2041600000000004E-9</v>
      </c>
      <c r="I4">
        <v>9.3489100000000006E-2</v>
      </c>
      <c r="J4" s="71">
        <v>5.83303E-5</v>
      </c>
      <c r="L4">
        <v>1.4404000000000001E-3</v>
      </c>
      <c r="M4" s="71">
        <v>3.0182500000000002E-7</v>
      </c>
      <c r="N4">
        <v>0.21910099999999999</v>
      </c>
      <c r="O4">
        <v>2.1682299999999999E-4</v>
      </c>
    </row>
    <row r="5" spans="1:15" x14ac:dyDescent="0.3">
      <c r="B5">
        <v>9.0656299999999999E-3</v>
      </c>
      <c r="C5">
        <v>2.37118E-4</v>
      </c>
      <c r="D5">
        <v>0.80893199999999998</v>
      </c>
      <c r="E5">
        <v>2.0950699999999999E-2</v>
      </c>
      <c r="G5">
        <v>1.8836800000000001E-4</v>
      </c>
      <c r="H5" s="71">
        <v>4.0413999999999997E-9</v>
      </c>
      <c r="I5">
        <v>9.1429200000000002E-2</v>
      </c>
      <c r="J5" s="71">
        <v>5.0248099999999998E-5</v>
      </c>
      <c r="L5">
        <v>1.3175299999999999E-3</v>
      </c>
      <c r="M5" s="71">
        <v>2.3654700000000001E-7</v>
      </c>
      <c r="N5">
        <v>0.22068699999999999</v>
      </c>
      <c r="O5">
        <v>2.3143600000000001E-4</v>
      </c>
    </row>
    <row r="6" spans="1:15" x14ac:dyDescent="0.3">
      <c r="B6">
        <v>8.7834999999999996E-3</v>
      </c>
      <c r="C6">
        <v>2.3341E-4</v>
      </c>
      <c r="D6">
        <v>0.77324499999999996</v>
      </c>
      <c r="E6">
        <v>2.0240000000000001E-2</v>
      </c>
      <c r="G6">
        <v>1.93959E-4</v>
      </c>
      <c r="H6" s="71">
        <v>4.5377600000000003E-9</v>
      </c>
      <c r="I6">
        <v>9.3177499999999996E-2</v>
      </c>
      <c r="J6" s="71">
        <v>5.6020400000000003E-5</v>
      </c>
      <c r="L6">
        <v>1.2841E-3</v>
      </c>
      <c r="M6" s="71">
        <v>1.9786500000000001E-7</v>
      </c>
      <c r="N6" s="71">
        <v>0.21925800000000001</v>
      </c>
      <c r="O6">
        <v>2.2859399999999999E-4</v>
      </c>
    </row>
    <row r="7" spans="1:15" x14ac:dyDescent="0.3">
      <c r="B7">
        <v>8.6891599999999996E-3</v>
      </c>
      <c r="C7">
        <v>2.3436099999999999E-4</v>
      </c>
      <c r="D7">
        <v>0.75664500000000001</v>
      </c>
      <c r="E7">
        <v>2.0590600000000001E-2</v>
      </c>
      <c r="G7">
        <v>1.9455699999999999E-4</v>
      </c>
      <c r="H7" s="71">
        <v>4.3578099999999999E-9</v>
      </c>
      <c r="I7">
        <v>9.3118400000000004E-2</v>
      </c>
      <c r="J7" s="71">
        <v>5.4143500000000001E-5</v>
      </c>
      <c r="L7">
        <v>1.23281E-3</v>
      </c>
      <c r="M7" s="71">
        <v>1.63171E-7</v>
      </c>
      <c r="N7" s="71">
        <v>0.21196899999999999</v>
      </c>
      <c r="O7">
        <v>2.0941199999999999E-4</v>
      </c>
    </row>
    <row r="8" spans="1:15" x14ac:dyDescent="0.3">
      <c r="B8">
        <v>8.6320700000000004E-3</v>
      </c>
      <c r="C8">
        <v>2.3504999999999999E-4</v>
      </c>
      <c r="D8">
        <v>0.74614400000000003</v>
      </c>
      <c r="E8">
        <v>2.09261E-2</v>
      </c>
      <c r="G8">
        <v>1.8895399999999999E-4</v>
      </c>
      <c r="H8" s="71">
        <v>4.0802799999999999E-9</v>
      </c>
      <c r="I8">
        <v>9.0926199999999999E-2</v>
      </c>
      <c r="J8" s="71">
        <v>4.9321399999999998E-5</v>
      </c>
      <c r="L8">
        <v>1.2154399999999999E-3</v>
      </c>
      <c r="M8" s="71">
        <v>1.5139499999999999E-7</v>
      </c>
      <c r="N8" s="71">
        <v>0.203648</v>
      </c>
      <c r="O8">
        <v>1.90426E-4</v>
      </c>
    </row>
    <row r="9" spans="1:15" x14ac:dyDescent="0.3">
      <c r="B9">
        <v>8.64119E-3</v>
      </c>
      <c r="C9">
        <v>2.1411100000000001E-4</v>
      </c>
      <c r="D9">
        <v>0.71720499999999998</v>
      </c>
      <c r="E9">
        <v>1.9783499999999999E-2</v>
      </c>
      <c r="G9">
        <v>1.8608399999999999E-4</v>
      </c>
      <c r="H9" s="71">
        <v>3.8751499999999998E-9</v>
      </c>
      <c r="I9">
        <v>9.1127299999999994E-2</v>
      </c>
      <c r="J9" s="71">
        <v>5.00885E-5</v>
      </c>
      <c r="L9">
        <v>1.2246399999999999E-3</v>
      </c>
      <c r="M9" s="71">
        <v>1.49045E-7</v>
      </c>
      <c r="N9" s="71">
        <v>0.20419999999999999</v>
      </c>
      <c r="O9">
        <v>1.9268099999999999E-4</v>
      </c>
    </row>
    <row r="10" spans="1:15" x14ac:dyDescent="0.3">
      <c r="B10">
        <v>8.60029E-3</v>
      </c>
      <c r="C10">
        <v>2.14806E-4</v>
      </c>
      <c r="D10">
        <v>0.71617500000000001</v>
      </c>
      <c r="E10">
        <v>1.9878199999999999E-2</v>
      </c>
      <c r="G10">
        <v>1.9377500000000001E-4</v>
      </c>
      <c r="H10" s="71">
        <v>4.91395E-9</v>
      </c>
      <c r="I10">
        <v>9.2746800000000004E-2</v>
      </c>
      <c r="J10" s="71">
        <v>5.2202099999999999E-5</v>
      </c>
      <c r="L10">
        <v>1.2022300000000001E-3</v>
      </c>
      <c r="M10" s="71">
        <v>1.62702E-7</v>
      </c>
      <c r="N10" s="71">
        <v>0.201656</v>
      </c>
      <c r="O10">
        <v>2.0241000000000001E-4</v>
      </c>
    </row>
    <row r="11" spans="1:15" x14ac:dyDescent="0.3">
      <c r="B11">
        <v>8.6393400000000006E-3</v>
      </c>
      <c r="C11">
        <v>2.15684E-4</v>
      </c>
      <c r="D11">
        <v>0.71881600000000001</v>
      </c>
      <c r="E11">
        <v>1.9750899999999998E-2</v>
      </c>
      <c r="G11">
        <v>1.9443299999999999E-4</v>
      </c>
      <c r="H11" s="71">
        <v>4.90629E-9</v>
      </c>
      <c r="I11">
        <v>9.2967099999999997E-2</v>
      </c>
      <c r="J11" s="71">
        <v>5.33024E-5</v>
      </c>
      <c r="L11">
        <v>1.1769199999999999E-3</v>
      </c>
      <c r="M11" s="71">
        <v>1.6175999999999999E-7</v>
      </c>
      <c r="N11" s="71">
        <v>0.20405999999999999</v>
      </c>
      <c r="O11">
        <v>2.1839299999999999E-4</v>
      </c>
    </row>
    <row r="13" spans="1:15" x14ac:dyDescent="0.3">
      <c r="A13" t="s">
        <v>31</v>
      </c>
      <c r="B13" s="26">
        <f>AVERAGE(B3:B11)*1000</f>
        <v>8.8399377777777772</v>
      </c>
      <c r="C13" s="26">
        <f>AVERAGE(C3:C11)*1000</f>
        <v>0.2292622222222222</v>
      </c>
      <c r="D13" s="26">
        <f t="shared" ref="D13:E13" si="0">AVERAGE(D3:D11)</f>
        <v>0.76815355555555564</v>
      </c>
      <c r="E13" s="26">
        <f t="shared" si="0"/>
        <v>2.0407877777777778E-2</v>
      </c>
      <c r="G13" s="26">
        <f>AVERAGE(G3:G11)*1000</f>
        <v>0.18859677777777778</v>
      </c>
      <c r="H13" s="71">
        <f>AVERAGE(H3:H11)*1000</f>
        <v>4.5251577777777778E-6</v>
      </c>
      <c r="I13" s="20">
        <f t="shared" ref="I13:J13" si="1">AVERAGE(I3:I11)</f>
        <v>9.2691066666666669E-2</v>
      </c>
      <c r="J13">
        <f t="shared" si="1"/>
        <v>5.3633044444444442E-5</v>
      </c>
      <c r="L13" s="26">
        <f>AVERAGE(L3:L11)*1000</f>
        <v>1.2803255555555557</v>
      </c>
      <c r="M13" s="71">
        <f>AVERAGE(M3:M11)*1000</f>
        <v>2.0134844444444445E-4</v>
      </c>
      <c r="N13" s="20">
        <f t="shared" ref="N13:O13" si="2">AVERAGE(N3:N11)</f>
        <v>0.21130688888888888</v>
      </c>
      <c r="O13" s="43">
        <f t="shared" si="2"/>
        <v>2.1222988888888888E-4</v>
      </c>
    </row>
    <row r="17" spans="2:6" x14ac:dyDescent="0.3">
      <c r="B17" s="26"/>
      <c r="C17" s="26"/>
      <c r="D17" s="26"/>
      <c r="E17" s="26"/>
    </row>
    <row r="22" spans="2:6" x14ac:dyDescent="0.3">
      <c r="F22" s="26"/>
    </row>
  </sheetData>
  <mergeCells count="9">
    <mergeCell ref="L1:O1"/>
    <mergeCell ref="L2:M2"/>
    <mergeCell ref="N2:O2"/>
    <mergeCell ref="B2:C2"/>
    <mergeCell ref="D2:E2"/>
    <mergeCell ref="A1:E1"/>
    <mergeCell ref="G2:H2"/>
    <mergeCell ref="I2:J2"/>
    <mergeCell ref="G1:J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H38" sqref="H38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82" t="s">
        <v>95</v>
      </c>
      <c r="B1" s="79" t="s">
        <v>26</v>
      </c>
      <c r="C1" s="82" t="s">
        <v>23</v>
      </c>
      <c r="D1" s="81" t="s">
        <v>24</v>
      </c>
      <c r="E1" s="79" t="s">
        <v>5</v>
      </c>
      <c r="F1" s="80"/>
      <c r="G1" s="80"/>
      <c r="H1" s="81"/>
      <c r="I1" s="79" t="s">
        <v>9</v>
      </c>
      <c r="J1" s="80"/>
      <c r="K1" s="80"/>
      <c r="L1" s="81"/>
      <c r="M1" s="79" t="s">
        <v>10</v>
      </c>
      <c r="N1" s="81"/>
      <c r="O1" s="79" t="s">
        <v>11</v>
      </c>
      <c r="P1" s="81"/>
    </row>
    <row r="2" spans="1:22" x14ac:dyDescent="0.3">
      <c r="A2" s="83"/>
      <c r="B2" s="89"/>
      <c r="C2" s="83"/>
      <c r="D2" s="90"/>
      <c r="E2" s="89" t="s">
        <v>12</v>
      </c>
      <c r="F2" s="88"/>
      <c r="G2" s="88" t="s">
        <v>13</v>
      </c>
      <c r="H2" s="90"/>
      <c r="I2" s="89" t="s">
        <v>12</v>
      </c>
      <c r="J2" s="88"/>
      <c r="K2" s="88" t="s">
        <v>13</v>
      </c>
      <c r="L2" s="90"/>
      <c r="M2" s="44"/>
      <c r="N2" s="47"/>
      <c r="O2" s="44"/>
      <c r="P2" s="47"/>
    </row>
    <row r="3" spans="1:22" ht="15" thickBot="1" x14ac:dyDescent="0.35">
      <c r="A3" s="91"/>
      <c r="B3" s="98"/>
      <c r="C3" s="91"/>
      <c r="D3" s="109"/>
      <c r="E3" s="45" t="s">
        <v>7</v>
      </c>
      <c r="F3" s="46" t="s">
        <v>8</v>
      </c>
      <c r="G3" s="46" t="s">
        <v>7</v>
      </c>
      <c r="H3" s="48" t="s">
        <v>8</v>
      </c>
      <c r="I3" s="45" t="s">
        <v>7</v>
      </c>
      <c r="J3" s="46" t="s">
        <v>8</v>
      </c>
      <c r="K3" s="46" t="s">
        <v>7</v>
      </c>
      <c r="L3" s="48" t="s">
        <v>8</v>
      </c>
      <c r="M3" s="45" t="s">
        <v>7</v>
      </c>
      <c r="N3" s="48" t="s">
        <v>8</v>
      </c>
      <c r="O3" s="45" t="s">
        <v>7</v>
      </c>
      <c r="P3" s="48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85" t="s">
        <v>86</v>
      </c>
      <c r="T4" s="86"/>
      <c r="U4" s="86"/>
      <c r="V4" s="87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49">
        <f>AVERAGE(E4:E6)*1000</f>
        <v>8.6000000000000014</v>
      </c>
      <c r="F8" s="49">
        <f>AVERAGE(F4:F6)*1000</f>
        <v>5.6333333333333329</v>
      </c>
      <c r="G8" s="49">
        <f>AVERAGE(G4:G6)</f>
        <v>1.1750666666666667</v>
      </c>
      <c r="H8" s="49">
        <f>AVERAGE(H4:H6)</f>
        <v>0.63149999999999995</v>
      </c>
      <c r="I8" s="49">
        <f t="shared" ref="I8:O8" si="0">AVERAGE(I4:I6)*1000</f>
        <v>-36.266666666666666</v>
      </c>
      <c r="J8" s="49">
        <f t="shared" si="0"/>
        <v>81.066666666666663</v>
      </c>
      <c r="K8" s="49">
        <f>AVERAGE(K4:K6)</f>
        <v>18.491099999999999</v>
      </c>
      <c r="L8" s="49">
        <f>AVERAGE(L4:L6)</f>
        <v>12.586533333333335</v>
      </c>
      <c r="M8" s="49">
        <f t="shared" si="0"/>
        <v>16.78</v>
      </c>
      <c r="N8" s="49">
        <f t="shared" si="0"/>
        <v>7</v>
      </c>
      <c r="O8" s="49">
        <f t="shared" si="0"/>
        <v>13.133333333333335</v>
      </c>
      <c r="P8" s="49">
        <f>_xlfn.STDEV.P(O4:O6)*1000</f>
        <v>2.5940101944458287</v>
      </c>
      <c r="R8" s="9"/>
    </row>
    <row r="9" spans="1:22" x14ac:dyDescent="0.3">
      <c r="R9" s="9"/>
      <c r="S9" s="85" t="s">
        <v>18</v>
      </c>
      <c r="T9" s="86"/>
      <c r="U9" s="86"/>
      <c r="V9" s="87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49">
        <f>AVERAGE(E10:E12)*1000</f>
        <v>11.2</v>
      </c>
      <c r="F14" s="49">
        <f>AVERAGE(F10:F12)*1000</f>
        <v>6.7</v>
      </c>
      <c r="G14" s="49">
        <f>AVERAGE(G10:G12)</f>
        <v>1.4771666666666665</v>
      </c>
      <c r="H14" s="49">
        <f>AVERAGE(H10:H12)</f>
        <v>0.78713333333333324</v>
      </c>
      <c r="I14" s="49">
        <f t="shared" ref="I14:O14" si="1">AVERAGE(I10:I12)*1000</f>
        <v>-24.000000000000004</v>
      </c>
      <c r="J14" s="49">
        <f t="shared" si="1"/>
        <v>111.2</v>
      </c>
      <c r="K14" s="49">
        <f>AVERAGE(K10:K12)</f>
        <v>24.679833333333335</v>
      </c>
      <c r="L14" s="49">
        <f>AVERAGE(L10:L12)</f>
        <v>14.535466666666666</v>
      </c>
      <c r="M14" s="49">
        <f t="shared" si="1"/>
        <v>17.783333333333331</v>
      </c>
      <c r="N14" s="49">
        <f t="shared" si="1"/>
        <v>14.666666666666666</v>
      </c>
      <c r="O14" s="49">
        <f t="shared" si="1"/>
        <v>14.66</v>
      </c>
      <c r="P14" s="49">
        <f>_xlfn.STDEV.P(O10:O12)*1000</f>
        <v>2.3744051886735753</v>
      </c>
      <c r="R14" s="9"/>
      <c r="S14" s="85" t="s">
        <v>20</v>
      </c>
      <c r="T14" s="86"/>
      <c r="U14" s="86"/>
      <c r="V14" s="87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49">
        <f>AVERAGE(E16:E18)*1000</f>
        <v>10.450000000000001</v>
      </c>
      <c r="F20" s="49">
        <f>AVERAGE(F16:F18)*1000</f>
        <v>6.35</v>
      </c>
      <c r="G20" s="49">
        <f>AVERAGE(G16:G18)</f>
        <v>1.4507500000000002</v>
      </c>
      <c r="H20" s="49">
        <f>AVERAGE(H16:H18)</f>
        <v>0.66490000000000005</v>
      </c>
      <c r="I20" s="49">
        <f>AVERAGE(I16:I18)*1000</f>
        <v>-26.450000000000003</v>
      </c>
      <c r="J20" s="49">
        <f>AVERAGE(J16:J18)*1000</f>
        <v>94</v>
      </c>
      <c r="K20" s="49">
        <f>AVERAGE(K16:K18)</f>
        <v>24.075000000000003</v>
      </c>
      <c r="L20" s="49">
        <f>AVERAGE(L16:L18)</f>
        <v>12.620000000000001</v>
      </c>
      <c r="M20" s="49">
        <f>AVERAGE(M16:M18)*1000</f>
        <v>14.974999999999998</v>
      </c>
      <c r="N20" s="49">
        <f>AVERAGE(N16:N18)*1000</f>
        <v>11</v>
      </c>
      <c r="O20" s="49">
        <f>AVERAGE(O16:O18)*1000</f>
        <v>12.490000000000002</v>
      </c>
      <c r="P20" s="49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  <mergeCell ref="S4:V4"/>
    <mergeCell ref="S9:V9"/>
    <mergeCell ref="S14:V14"/>
    <mergeCell ref="M1:N1"/>
    <mergeCell ref="O1:P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10D8-AFE1-4840-85D9-722CE3E33639}">
  <dimension ref="A1:I33"/>
  <sheetViews>
    <sheetView zoomScaleNormal="100" workbookViewId="0">
      <selection activeCell="L20" sqref="L20"/>
    </sheetView>
  </sheetViews>
  <sheetFormatPr defaultRowHeight="14.4" x14ac:dyDescent="0.3"/>
  <cols>
    <col min="1" max="1" width="5.88671875" bestFit="1" customWidth="1"/>
    <col min="2" max="2" width="9.5546875" bestFit="1" customWidth="1"/>
    <col min="3" max="3" width="11.109375" customWidth="1"/>
    <col min="4" max="4" width="6.88671875" bestFit="1" customWidth="1"/>
    <col min="5" max="5" width="9.5546875" bestFit="1" customWidth="1"/>
  </cols>
  <sheetData>
    <row r="1" spans="1:9" ht="15" thickBot="1" x14ac:dyDescent="0.35">
      <c r="A1" s="14" t="s">
        <v>170</v>
      </c>
      <c r="B1" s="15" t="s">
        <v>173</v>
      </c>
      <c r="C1" s="15" t="s">
        <v>171</v>
      </c>
      <c r="D1" s="15" t="s">
        <v>172</v>
      </c>
      <c r="E1" s="16" t="s">
        <v>174</v>
      </c>
      <c r="H1" t="s">
        <v>180</v>
      </c>
      <c r="I1" t="s">
        <v>179</v>
      </c>
    </row>
    <row r="2" spans="1:9" x14ac:dyDescent="0.3">
      <c r="A2" s="79">
        <v>400</v>
      </c>
      <c r="B2" s="15" t="s">
        <v>175</v>
      </c>
      <c r="C2" s="15">
        <v>569.29999999999995</v>
      </c>
      <c r="D2" s="15">
        <v>552.05999999999995</v>
      </c>
      <c r="E2" s="16">
        <f>C2-D2</f>
        <v>17.240000000000009</v>
      </c>
      <c r="H2">
        <v>604.35</v>
      </c>
      <c r="I2">
        <v>601.05999999999995</v>
      </c>
    </row>
    <row r="3" spans="1:9" x14ac:dyDescent="0.3">
      <c r="A3" s="89"/>
      <c r="B3" s="9" t="s">
        <v>176</v>
      </c>
      <c r="C3" s="9">
        <v>569.27</v>
      </c>
      <c r="D3" s="9">
        <v>552.44000000000005</v>
      </c>
      <c r="E3" s="10">
        <f t="shared" ref="E3:E33" si="0">C3-D3</f>
        <v>16.829999999999927</v>
      </c>
      <c r="H3">
        <v>604.35</v>
      </c>
      <c r="I3">
        <v>601.33000000000004</v>
      </c>
    </row>
    <row r="4" spans="1:9" x14ac:dyDescent="0.3">
      <c r="A4" s="89"/>
      <c r="B4" s="9" t="s">
        <v>177</v>
      </c>
      <c r="C4" s="9">
        <v>639.79999999999995</v>
      </c>
      <c r="D4" s="9">
        <v>637.73</v>
      </c>
      <c r="E4" s="10">
        <f t="shared" si="0"/>
        <v>2.0699999999999363</v>
      </c>
      <c r="H4">
        <v>639.82000000000005</v>
      </c>
      <c r="I4">
        <v>636.54</v>
      </c>
    </row>
    <row r="5" spans="1:9" ht="15" thickBot="1" x14ac:dyDescent="0.35">
      <c r="A5" s="98"/>
      <c r="B5" s="12" t="s">
        <v>178</v>
      </c>
      <c r="C5" s="12">
        <v>356.93</v>
      </c>
      <c r="D5" s="12">
        <v>360.07499999999999</v>
      </c>
      <c r="E5" s="13">
        <f t="shared" si="0"/>
        <v>-3.1449999999999818</v>
      </c>
      <c r="H5">
        <v>358.54</v>
      </c>
      <c r="I5">
        <v>360.29</v>
      </c>
    </row>
    <row r="6" spans="1:9" x14ac:dyDescent="0.3">
      <c r="A6" s="89">
        <v>600</v>
      </c>
      <c r="B6" s="9" t="s">
        <v>175</v>
      </c>
      <c r="C6" s="9">
        <v>749.23</v>
      </c>
      <c r="D6" s="9">
        <v>736.18</v>
      </c>
      <c r="E6" s="10">
        <f t="shared" si="0"/>
        <v>13.050000000000068</v>
      </c>
    </row>
    <row r="7" spans="1:9" x14ac:dyDescent="0.3">
      <c r="A7" s="89"/>
      <c r="B7" s="9" t="s">
        <v>176</v>
      </c>
      <c r="C7" s="9">
        <v>746.52</v>
      </c>
      <c r="D7" s="9">
        <v>733.9</v>
      </c>
      <c r="E7" s="10">
        <f t="shared" si="0"/>
        <v>12.620000000000005</v>
      </c>
    </row>
    <row r="8" spans="1:9" x14ac:dyDescent="0.3">
      <c r="A8" s="89"/>
      <c r="B8" s="9" t="s">
        <v>177</v>
      </c>
      <c r="C8" s="9">
        <v>644.67999999999995</v>
      </c>
      <c r="D8" s="9">
        <v>643.97</v>
      </c>
      <c r="E8" s="10">
        <f t="shared" si="0"/>
        <v>0.70999999999992269</v>
      </c>
    </row>
    <row r="9" spans="1:9" ht="15" thickBot="1" x14ac:dyDescent="0.35">
      <c r="A9" s="89"/>
      <c r="B9" s="9" t="s">
        <v>178</v>
      </c>
      <c r="C9" s="9">
        <v>326.31</v>
      </c>
      <c r="D9" s="9">
        <v>334.51</v>
      </c>
      <c r="E9" s="10">
        <f t="shared" si="0"/>
        <v>-8.1999999999999886</v>
      </c>
    </row>
    <row r="10" spans="1:9" x14ac:dyDescent="0.3">
      <c r="A10" s="79">
        <v>800</v>
      </c>
      <c r="B10" s="15" t="s">
        <v>175</v>
      </c>
      <c r="C10" s="15">
        <v>576.37</v>
      </c>
      <c r="D10" s="15">
        <v>592.36</v>
      </c>
      <c r="E10" s="16">
        <f t="shared" si="0"/>
        <v>-15.990000000000009</v>
      </c>
    </row>
    <row r="11" spans="1:9" x14ac:dyDescent="0.3">
      <c r="A11" s="89"/>
      <c r="B11" s="9" t="s">
        <v>176</v>
      </c>
      <c r="C11" s="9">
        <v>577.12</v>
      </c>
      <c r="D11" s="9">
        <v>592.87</v>
      </c>
      <c r="E11" s="10">
        <f t="shared" si="0"/>
        <v>-15.75</v>
      </c>
    </row>
    <row r="12" spans="1:9" x14ac:dyDescent="0.3">
      <c r="A12" s="89"/>
      <c r="B12" s="9" t="s">
        <v>177</v>
      </c>
      <c r="C12" s="9">
        <v>636.04999999999995</v>
      </c>
      <c r="D12" s="9">
        <v>633.38</v>
      </c>
      <c r="E12" s="10">
        <f t="shared" si="0"/>
        <v>2.6699999999999591</v>
      </c>
    </row>
    <row r="13" spans="1:9" ht="15" thickBot="1" x14ac:dyDescent="0.35">
      <c r="A13" s="98"/>
      <c r="B13" s="12" t="s">
        <v>178</v>
      </c>
      <c r="C13" s="12">
        <v>365.56</v>
      </c>
      <c r="D13" s="12">
        <v>365.82</v>
      </c>
      <c r="E13" s="13">
        <f t="shared" si="0"/>
        <v>-0.25999999999999091</v>
      </c>
    </row>
    <row r="14" spans="1:9" x14ac:dyDescent="0.3">
      <c r="A14" s="89">
        <v>1000</v>
      </c>
      <c r="B14" s="9" t="s">
        <v>175</v>
      </c>
      <c r="C14" s="9">
        <v>644.04</v>
      </c>
      <c r="D14" s="9">
        <v>620.82000000000005</v>
      </c>
      <c r="E14" s="10">
        <f t="shared" si="0"/>
        <v>23.219999999999914</v>
      </c>
    </row>
    <row r="15" spans="1:9" x14ac:dyDescent="0.3">
      <c r="A15" s="89"/>
      <c r="B15" s="9" t="s">
        <v>176</v>
      </c>
      <c r="C15" s="9">
        <v>644.28</v>
      </c>
      <c r="D15" s="9">
        <v>621.76</v>
      </c>
      <c r="E15" s="10">
        <f t="shared" si="0"/>
        <v>22.519999999999982</v>
      </c>
    </row>
    <row r="16" spans="1:9" x14ac:dyDescent="0.3">
      <c r="A16" s="89"/>
      <c r="B16" s="9" t="s">
        <v>177</v>
      </c>
      <c r="C16" s="9">
        <v>642.12</v>
      </c>
      <c r="D16" s="9">
        <v>636.9</v>
      </c>
      <c r="E16" s="10">
        <f t="shared" si="0"/>
        <v>5.2200000000000273</v>
      </c>
    </row>
    <row r="17" spans="1:5" ht="15" thickBot="1" x14ac:dyDescent="0.35">
      <c r="A17" s="89"/>
      <c r="B17" s="9" t="s">
        <v>178</v>
      </c>
      <c r="C17" s="9">
        <v>359.97</v>
      </c>
      <c r="D17" s="9">
        <v>364.125</v>
      </c>
      <c r="E17" s="10">
        <f t="shared" si="0"/>
        <v>-4.1549999999999727</v>
      </c>
    </row>
    <row r="18" spans="1:5" x14ac:dyDescent="0.3">
      <c r="A18" s="79">
        <v>1200</v>
      </c>
      <c r="B18" s="15" t="s">
        <v>175</v>
      </c>
      <c r="C18" s="15">
        <v>693.41</v>
      </c>
      <c r="D18" s="15">
        <v>627.83000000000004</v>
      </c>
      <c r="E18" s="16">
        <f t="shared" si="0"/>
        <v>65.579999999999927</v>
      </c>
    </row>
    <row r="19" spans="1:5" x14ac:dyDescent="0.3">
      <c r="A19" s="89"/>
      <c r="B19" s="9" t="s">
        <v>176</v>
      </c>
      <c r="C19" s="9">
        <v>690</v>
      </c>
      <c r="D19" s="27">
        <v>626.92999999999995</v>
      </c>
      <c r="E19" s="10">
        <f t="shared" si="0"/>
        <v>63.07000000000005</v>
      </c>
    </row>
    <row r="20" spans="1:5" x14ac:dyDescent="0.3">
      <c r="A20" s="89"/>
      <c r="B20" s="9" t="s">
        <v>177</v>
      </c>
      <c r="C20" s="9">
        <v>643.41999999999996</v>
      </c>
      <c r="D20" s="27">
        <v>631.48</v>
      </c>
      <c r="E20" s="10">
        <f t="shared" si="0"/>
        <v>11.939999999999941</v>
      </c>
    </row>
    <row r="21" spans="1:5" ht="15" thickBot="1" x14ac:dyDescent="0.35">
      <c r="A21" s="98"/>
      <c r="B21" s="12" t="s">
        <v>178</v>
      </c>
      <c r="C21" s="12">
        <v>345.14</v>
      </c>
      <c r="D21" s="12">
        <v>372.78</v>
      </c>
      <c r="E21" s="13">
        <f t="shared" si="0"/>
        <v>-27.639999999999986</v>
      </c>
    </row>
    <row r="22" spans="1:5" x14ac:dyDescent="0.3">
      <c r="A22" s="89">
        <v>1400</v>
      </c>
      <c r="B22" s="9" t="s">
        <v>175</v>
      </c>
      <c r="C22" s="9">
        <v>560.05999999999995</v>
      </c>
      <c r="D22" s="27">
        <v>565.25</v>
      </c>
      <c r="E22" s="10">
        <f t="shared" si="0"/>
        <v>-5.1900000000000546</v>
      </c>
    </row>
    <row r="23" spans="1:5" x14ac:dyDescent="0.3">
      <c r="A23" s="89"/>
      <c r="B23" s="9" t="s">
        <v>176</v>
      </c>
      <c r="C23" s="9">
        <v>560.74</v>
      </c>
      <c r="D23" s="27">
        <v>565.74</v>
      </c>
      <c r="E23" s="10">
        <f t="shared" si="0"/>
        <v>-5</v>
      </c>
    </row>
    <row r="24" spans="1:5" x14ac:dyDescent="0.3">
      <c r="A24" s="89"/>
      <c r="B24" s="9" t="s">
        <v>177</v>
      </c>
      <c r="C24" s="9">
        <v>649.65</v>
      </c>
      <c r="D24" s="27">
        <v>649.29999999999995</v>
      </c>
      <c r="E24" s="10">
        <f t="shared" si="0"/>
        <v>0.35000000000002274</v>
      </c>
    </row>
    <row r="25" spans="1:5" ht="15" thickBot="1" x14ac:dyDescent="0.35">
      <c r="A25" s="89"/>
      <c r="B25" s="9" t="s">
        <v>178</v>
      </c>
      <c r="C25" s="9">
        <v>363.81</v>
      </c>
      <c r="D25" s="27">
        <v>362.73</v>
      </c>
      <c r="E25" s="10">
        <f t="shared" si="0"/>
        <v>1.0799999999999841</v>
      </c>
    </row>
    <row r="26" spans="1:5" x14ac:dyDescent="0.3">
      <c r="A26" s="79">
        <v>1600</v>
      </c>
      <c r="B26" s="15" t="s">
        <v>175</v>
      </c>
      <c r="C26" s="15">
        <v>625.76</v>
      </c>
      <c r="D26" s="15">
        <v>616.34</v>
      </c>
      <c r="E26" s="16">
        <f t="shared" si="0"/>
        <v>9.4199999999999591</v>
      </c>
    </row>
    <row r="27" spans="1:5" x14ac:dyDescent="0.3">
      <c r="A27" s="89"/>
      <c r="B27" s="9" t="s">
        <v>176</v>
      </c>
      <c r="C27" s="9">
        <v>626.16</v>
      </c>
      <c r="D27" s="27">
        <v>616.83100000000002</v>
      </c>
      <c r="E27" s="10">
        <f t="shared" si="0"/>
        <v>9.3289999999999509</v>
      </c>
    </row>
    <row r="28" spans="1:5" x14ac:dyDescent="0.3">
      <c r="A28" s="89"/>
      <c r="B28" s="9" t="s">
        <v>177</v>
      </c>
      <c r="C28" s="9">
        <v>637.44000000000005</v>
      </c>
      <c r="D28" s="27">
        <v>640.41</v>
      </c>
      <c r="E28" s="10">
        <f t="shared" si="0"/>
        <v>-2.9699999999999136</v>
      </c>
    </row>
    <row r="29" spans="1:5" ht="15" thickBot="1" x14ac:dyDescent="0.35">
      <c r="A29" s="98"/>
      <c r="B29" s="12" t="s">
        <v>178</v>
      </c>
      <c r="C29" s="12">
        <v>358.61</v>
      </c>
      <c r="D29" s="12">
        <v>357.84</v>
      </c>
      <c r="E29" s="13">
        <f t="shared" si="0"/>
        <v>0.77000000000003865</v>
      </c>
    </row>
    <row r="30" spans="1:5" x14ac:dyDescent="0.3">
      <c r="A30" s="89">
        <v>1800</v>
      </c>
      <c r="B30" s="9" t="s">
        <v>175</v>
      </c>
      <c r="C30" s="9">
        <v>630.67999999999995</v>
      </c>
      <c r="D30" s="27">
        <v>253.3</v>
      </c>
      <c r="E30" s="10">
        <f t="shared" si="0"/>
        <v>377.37999999999994</v>
      </c>
    </row>
    <row r="31" spans="1:5" x14ac:dyDescent="0.3">
      <c r="A31" s="89"/>
      <c r="B31" s="9" t="s">
        <v>176</v>
      </c>
      <c r="C31" s="9">
        <v>630.62</v>
      </c>
      <c r="D31" s="27">
        <v>259.7</v>
      </c>
      <c r="E31" s="10">
        <f t="shared" si="0"/>
        <v>370.92</v>
      </c>
    </row>
    <row r="32" spans="1:5" x14ac:dyDescent="0.3">
      <c r="A32" s="89"/>
      <c r="B32" s="9" t="s">
        <v>177</v>
      </c>
      <c r="C32" s="9">
        <v>637.02</v>
      </c>
      <c r="D32" s="27">
        <v>575.66999999999996</v>
      </c>
      <c r="E32" s="10">
        <f t="shared" si="0"/>
        <v>61.350000000000023</v>
      </c>
    </row>
    <row r="33" spans="1:5" ht="15" thickBot="1" x14ac:dyDescent="0.35">
      <c r="A33" s="98"/>
      <c r="B33" s="12" t="s">
        <v>178</v>
      </c>
      <c r="C33" s="12">
        <v>360.48</v>
      </c>
      <c r="D33" s="12">
        <v>419.19</v>
      </c>
      <c r="E33" s="13">
        <f t="shared" si="0"/>
        <v>-58.70999999999998</v>
      </c>
    </row>
  </sheetData>
  <mergeCells count="8">
    <mergeCell ref="A26:A29"/>
    <mergeCell ref="A30:A33"/>
    <mergeCell ref="A2:A5"/>
    <mergeCell ref="A6:A9"/>
    <mergeCell ref="A10:A13"/>
    <mergeCell ref="A14:A17"/>
    <mergeCell ref="A18:A21"/>
    <mergeCell ref="A22:A2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5B20C-22D4-46CE-9A5C-70AD2B2C7C8E}">
  <dimension ref="K2:L44"/>
  <sheetViews>
    <sheetView workbookViewId="0">
      <selection activeCell="K29" sqref="K29"/>
    </sheetView>
  </sheetViews>
  <sheetFormatPr defaultRowHeight="14.4" x14ac:dyDescent="0.3"/>
  <cols>
    <col min="11" max="11" width="12" bestFit="1" customWidth="1"/>
    <col min="12" max="12" width="12.44140625" bestFit="1" customWidth="1"/>
  </cols>
  <sheetData>
    <row r="2" spans="11:12" x14ac:dyDescent="0.3">
      <c r="K2">
        <v>1.4288599999999999E-3</v>
      </c>
      <c r="L2" s="71">
        <v>2.87826E-7</v>
      </c>
    </row>
    <row r="3" spans="11:12" x14ac:dyDescent="0.3">
      <c r="K3">
        <v>1.4404000000000001E-3</v>
      </c>
      <c r="L3" s="71">
        <v>3.0182500000000002E-7</v>
      </c>
    </row>
    <row r="4" spans="11:12" x14ac:dyDescent="0.3">
      <c r="K4">
        <v>1.3175299999999999E-3</v>
      </c>
      <c r="L4" s="71">
        <v>2.3654700000000001E-7</v>
      </c>
    </row>
    <row r="5" spans="11:12" x14ac:dyDescent="0.3">
      <c r="K5">
        <v>1.2841E-3</v>
      </c>
      <c r="L5" s="71">
        <v>1.9786500000000001E-7</v>
      </c>
    </row>
    <row r="6" spans="11:12" x14ac:dyDescent="0.3">
      <c r="K6">
        <v>1.23281E-3</v>
      </c>
      <c r="L6" s="71">
        <v>1.63171E-7</v>
      </c>
    </row>
    <row r="7" spans="11:12" x14ac:dyDescent="0.3">
      <c r="K7">
        <v>1.2154399999999999E-3</v>
      </c>
      <c r="L7" s="71">
        <v>1.5139499999999999E-7</v>
      </c>
    </row>
    <row r="8" spans="11:12" x14ac:dyDescent="0.3">
      <c r="K8">
        <v>1.2246399999999999E-3</v>
      </c>
      <c r="L8" s="71">
        <v>1.49045E-7</v>
      </c>
    </row>
    <row r="9" spans="11:12" x14ac:dyDescent="0.3">
      <c r="K9">
        <v>1.2022300000000001E-3</v>
      </c>
      <c r="L9" s="71">
        <v>1.62702E-7</v>
      </c>
    </row>
    <row r="10" spans="11:12" x14ac:dyDescent="0.3">
      <c r="K10">
        <v>1.1769199999999999E-3</v>
      </c>
      <c r="L10" s="71">
        <v>1.6175999999999999E-7</v>
      </c>
    </row>
    <row r="13" spans="11:12" x14ac:dyDescent="0.3">
      <c r="K13">
        <v>0.21718299999999999</v>
      </c>
      <c r="L13">
        <v>2.1989399999999999E-4</v>
      </c>
    </row>
    <row r="14" spans="11:12" x14ac:dyDescent="0.3">
      <c r="K14">
        <v>0.21910099999999999</v>
      </c>
      <c r="L14">
        <v>2.1682299999999999E-4</v>
      </c>
    </row>
    <row r="15" spans="11:12" x14ac:dyDescent="0.3">
      <c r="K15">
        <v>0.22068699999999999</v>
      </c>
      <c r="L15">
        <v>2.3143600000000001E-4</v>
      </c>
    </row>
    <row r="16" spans="11:12" x14ac:dyDescent="0.3">
      <c r="K16" s="71">
        <v>0.21925800000000001</v>
      </c>
      <c r="L16">
        <v>2.2859399999999999E-4</v>
      </c>
    </row>
    <row r="17" spans="11:12" x14ac:dyDescent="0.3">
      <c r="K17" s="71">
        <v>0.21196899999999999</v>
      </c>
      <c r="L17">
        <v>2.0941199999999999E-4</v>
      </c>
    </row>
    <row r="18" spans="11:12" x14ac:dyDescent="0.3">
      <c r="K18" s="71">
        <v>0.203648</v>
      </c>
      <c r="L18">
        <v>1.90426E-4</v>
      </c>
    </row>
    <row r="19" spans="11:12" x14ac:dyDescent="0.3">
      <c r="K19" s="71">
        <v>0.20419999999999999</v>
      </c>
      <c r="L19">
        <v>1.9268099999999999E-4</v>
      </c>
    </row>
    <row r="20" spans="11:12" x14ac:dyDescent="0.3">
      <c r="K20" s="71">
        <v>0.201656</v>
      </c>
      <c r="L20">
        <v>2.0241000000000001E-4</v>
      </c>
    </row>
    <row r="21" spans="11:12" x14ac:dyDescent="0.3">
      <c r="K21" s="71">
        <v>0.20405999999999999</v>
      </c>
      <c r="L21">
        <v>2.1839299999999999E-4</v>
      </c>
    </row>
    <row r="22" spans="11:12" x14ac:dyDescent="0.3">
      <c r="L22" s="71"/>
    </row>
    <row r="23" spans="11:12" x14ac:dyDescent="0.3">
      <c r="L23" s="71"/>
    </row>
    <row r="24" spans="11:12" x14ac:dyDescent="0.3">
      <c r="L24" s="71"/>
    </row>
    <row r="36" spans="11:12" x14ac:dyDescent="0.3">
      <c r="K36">
        <v>9.5238000000000003E-2</v>
      </c>
      <c r="L36" s="71">
        <v>5.9040699999999999E-5</v>
      </c>
    </row>
    <row r="37" spans="11:12" x14ac:dyDescent="0.3">
      <c r="K37">
        <v>9.3489100000000006E-2</v>
      </c>
      <c r="L37" s="71">
        <v>5.83303E-5</v>
      </c>
    </row>
    <row r="38" spans="11:12" x14ac:dyDescent="0.3">
      <c r="K38">
        <v>9.1429200000000002E-2</v>
      </c>
      <c r="L38" s="71">
        <v>5.0248099999999998E-5</v>
      </c>
    </row>
    <row r="39" spans="11:12" x14ac:dyDescent="0.3">
      <c r="K39">
        <v>9.3177499999999996E-2</v>
      </c>
      <c r="L39" s="71">
        <v>5.6020400000000003E-5</v>
      </c>
    </row>
    <row r="40" spans="11:12" x14ac:dyDescent="0.3">
      <c r="K40">
        <v>9.3118400000000004E-2</v>
      </c>
      <c r="L40" s="71">
        <v>5.4143500000000001E-5</v>
      </c>
    </row>
    <row r="41" spans="11:12" x14ac:dyDescent="0.3">
      <c r="K41">
        <v>9.0926199999999999E-2</v>
      </c>
      <c r="L41" s="71">
        <v>4.9321399999999998E-5</v>
      </c>
    </row>
    <row r="42" spans="11:12" x14ac:dyDescent="0.3">
      <c r="K42">
        <v>9.1127299999999994E-2</v>
      </c>
      <c r="L42" s="71">
        <v>5.00885E-5</v>
      </c>
    </row>
    <row r="43" spans="11:12" x14ac:dyDescent="0.3">
      <c r="K43">
        <v>9.2746800000000004E-2</v>
      </c>
      <c r="L43" s="71">
        <v>5.2202099999999999E-5</v>
      </c>
    </row>
    <row r="44" spans="11:12" x14ac:dyDescent="0.3">
      <c r="K44">
        <v>9.2967099999999997E-2</v>
      </c>
      <c r="L44" s="71">
        <v>5.33024E-5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Table of contents</vt:lpstr>
      <vt:lpstr>uberseminar</vt:lpstr>
      <vt:lpstr>robot_trajectory_summary</vt:lpstr>
      <vt:lpstr>summary</vt:lpstr>
      <vt:lpstr>hand_trajectory_summary</vt:lpstr>
      <vt:lpstr>cluster_without_gt</vt:lpstr>
      <vt:lpstr>playground</vt:lpstr>
      <vt:lpstr>Trajectory_sync</vt:lpstr>
      <vt:lpstr>CA_124</vt:lpstr>
      <vt:lpstr>CS_301</vt:lpstr>
      <vt:lpstr>CS_301_RED</vt:lpstr>
      <vt:lpstr>depth_calibration</vt:lpstr>
      <vt:lpstr>hand_trajectory</vt:lpstr>
      <vt:lpstr>hand_trajectory_backup</vt:lpstr>
      <vt:lpstr>kinect_hand_eye</vt:lpstr>
      <vt:lpstr>hand_trajectory_summary_backup</vt:lpstr>
      <vt:lpstr>camera_calibration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2021-05-02T19:03:21Z</dcterms:modified>
</cp:coreProperties>
</file>