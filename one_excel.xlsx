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5B7BD0BE-9DFF-433E-ADA7-290671D453B1}" xr6:coauthVersionLast="36" xr6:coauthVersionMax="36" xr10:uidLastSave="{00000000-0000-0000-0000-000000000000}"/>
  <bookViews>
    <workbookView xWindow="0" yWindow="0" windowWidth="22260" windowHeight="12648" activeTab="6" xr2:uid="{00000000-000D-0000-FFFF-FFFF00000000}"/>
  </bookViews>
  <sheets>
    <sheet name="Table of contents" sheetId="4" r:id="rId1"/>
    <sheet name="uberseminar" sheetId="1" r:id="rId2"/>
    <sheet name="robot_trajectory_summary" sheetId="18" r:id="rId3"/>
    <sheet name="summary" sheetId="2" r:id="rId4"/>
    <sheet name="hand_trajectory_summary" sheetId="10" r:id="rId5"/>
    <sheet name="Trajectory_sync" sheetId="15" r:id="rId6"/>
    <sheet name="kinect_hand_eye" sheetId="13" r:id="rId7"/>
    <sheet name="CA_124" sheetId="3" r:id="rId8"/>
    <sheet name="CS_301" sheetId="6" r:id="rId9"/>
    <sheet name="CS_301_RED" sheetId="7" r:id="rId10"/>
    <sheet name="depth_calibration" sheetId="8" r:id="rId11"/>
    <sheet name="cluster_without_gt" sheetId="14" r:id="rId12"/>
    <sheet name="hand_trajectory" sheetId="9" r:id="rId13"/>
    <sheet name="playground" sheetId="5" r:id="rId14"/>
    <sheet name="hand_trajectory_backup" sheetId="11" r:id="rId15"/>
    <sheet name="hand_trajectory_summary_backup" sheetId="12" r:id="rId16"/>
    <sheet name="camera_calibration" sheetId="19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9" l="1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2" i="19"/>
  <c r="O11" i="10" l="1"/>
  <c r="K7" i="10"/>
  <c r="U13" i="10"/>
  <c r="T13" i="10"/>
  <c r="S13" i="10"/>
  <c r="R13" i="10"/>
  <c r="Q13" i="10"/>
  <c r="P13" i="10"/>
  <c r="O13" i="10"/>
  <c r="N13" i="10"/>
  <c r="M13" i="10"/>
  <c r="L13" i="10"/>
  <c r="K13" i="10"/>
  <c r="N19" i="10"/>
  <c r="M19" i="10"/>
  <c r="L19" i="10"/>
  <c r="K19" i="10"/>
  <c r="U19" i="10"/>
  <c r="T19" i="10"/>
  <c r="S19" i="10"/>
  <c r="R19" i="10"/>
  <c r="Q19" i="10"/>
  <c r="P19" i="10"/>
  <c r="O19" i="10"/>
  <c r="K7" i="18" l="1"/>
  <c r="E17" i="18" l="1"/>
  <c r="P17" i="18"/>
  <c r="O17" i="18"/>
  <c r="N17" i="18"/>
  <c r="M17" i="18"/>
  <c r="L17" i="18"/>
  <c r="K17" i="18"/>
  <c r="J17" i="18"/>
  <c r="I17" i="18"/>
  <c r="H17" i="18"/>
  <c r="G17" i="18"/>
  <c r="F17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P7" i="18"/>
  <c r="O7" i="18"/>
  <c r="N7" i="18"/>
  <c r="M7" i="18"/>
  <c r="L7" i="18"/>
  <c r="J7" i="18"/>
  <c r="I7" i="18"/>
  <c r="H7" i="18"/>
  <c r="G7" i="18"/>
  <c r="F7" i="18"/>
  <c r="E7" i="18"/>
  <c r="E12" i="13" l="1"/>
  <c r="D12" i="13"/>
  <c r="C12" i="13"/>
  <c r="B12" i="13"/>
  <c r="H25" i="7" l="1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G25" i="7" l="1"/>
  <c r="G26" i="7"/>
  <c r="G27" i="7"/>
  <c r="G28" i="7"/>
  <c r="G29" i="7"/>
  <c r="G30" i="7"/>
  <c r="G31" i="7"/>
  <c r="G32" i="7"/>
  <c r="G33" i="7"/>
  <c r="P20" i="12" l="1"/>
  <c r="O20" i="12"/>
  <c r="N20" i="12"/>
  <c r="M20" i="12"/>
  <c r="L20" i="12"/>
  <c r="K20" i="12"/>
  <c r="J20" i="12"/>
  <c r="I20" i="12"/>
  <c r="H20" i="12"/>
  <c r="G20" i="12"/>
  <c r="F20" i="12"/>
  <c r="E20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P8" i="12"/>
  <c r="O8" i="12"/>
  <c r="N8" i="12"/>
  <c r="M8" i="12"/>
  <c r="L8" i="12"/>
  <c r="K8" i="12"/>
  <c r="J8" i="12"/>
  <c r="I8" i="12"/>
  <c r="H8" i="12"/>
  <c r="G8" i="12"/>
  <c r="F8" i="12"/>
  <c r="E8" i="12"/>
  <c r="V19" i="10"/>
  <c r="V13" i="10" l="1"/>
  <c r="V7" i="10"/>
  <c r="R7" i="10"/>
  <c r="Q7" i="10"/>
  <c r="N7" i="10"/>
  <c r="M7" i="10"/>
  <c r="O7" i="10"/>
  <c r="P7" i="10"/>
  <c r="S7" i="10"/>
  <c r="T7" i="10"/>
  <c r="U7" i="10"/>
  <c r="L7" i="10"/>
  <c r="E50" i="2" l="1"/>
  <c r="L86" i="2" l="1"/>
  <c r="K86" i="2"/>
  <c r="J86" i="2"/>
  <c r="I86" i="2"/>
  <c r="L50" i="2"/>
  <c r="K50" i="2"/>
  <c r="J50" i="2"/>
  <c r="I50" i="2"/>
  <c r="P94" i="2"/>
  <c r="L94" i="2"/>
  <c r="K94" i="2"/>
  <c r="H94" i="2"/>
  <c r="G94" i="2"/>
  <c r="F94" i="2"/>
  <c r="I94" i="2"/>
  <c r="J94" i="2"/>
  <c r="M94" i="2"/>
  <c r="N94" i="2"/>
  <c r="O94" i="2"/>
  <c r="E94" i="2"/>
  <c r="A4" i="8"/>
  <c r="A5" i="8" s="1"/>
  <c r="A6" i="8" s="1"/>
  <c r="A7" i="8" s="1"/>
  <c r="A8" i="8" s="1"/>
  <c r="A9" i="8" s="1"/>
  <c r="G108" i="7" l="1"/>
  <c r="H108" i="7"/>
  <c r="I108" i="7"/>
  <c r="J108" i="7"/>
  <c r="K108" i="7"/>
  <c r="G109" i="7"/>
  <c r="H109" i="7"/>
  <c r="I109" i="7"/>
  <c r="J109" i="7"/>
  <c r="K109" i="7"/>
  <c r="G110" i="7"/>
  <c r="H110" i="7"/>
  <c r="I110" i="7"/>
  <c r="J110" i="7"/>
  <c r="K110" i="7"/>
  <c r="G86" i="7"/>
  <c r="H86" i="7"/>
  <c r="I86" i="7"/>
  <c r="J86" i="7"/>
  <c r="K86" i="7"/>
  <c r="G87" i="7"/>
  <c r="H87" i="7"/>
  <c r="I87" i="7"/>
  <c r="J87" i="7"/>
  <c r="K87" i="7"/>
  <c r="G88" i="7"/>
  <c r="H88" i="7"/>
  <c r="I88" i="7"/>
  <c r="J88" i="7"/>
  <c r="K88" i="7"/>
  <c r="G64" i="7"/>
  <c r="H64" i="7"/>
  <c r="I64" i="7"/>
  <c r="J64" i="7"/>
  <c r="K64" i="7"/>
  <c r="G65" i="7"/>
  <c r="H65" i="7"/>
  <c r="I65" i="7"/>
  <c r="J65" i="7"/>
  <c r="K65" i="7"/>
  <c r="G66" i="7"/>
  <c r="H66" i="7"/>
  <c r="I66" i="7"/>
  <c r="J66" i="7"/>
  <c r="K66" i="7"/>
  <c r="J22" i="7"/>
  <c r="J21" i="7"/>
  <c r="J20" i="7"/>
  <c r="J19" i="7"/>
  <c r="G21" i="7"/>
  <c r="H21" i="7"/>
  <c r="I21" i="7"/>
  <c r="K21" i="7"/>
  <c r="G130" i="6"/>
  <c r="H130" i="6"/>
  <c r="I130" i="6"/>
  <c r="J130" i="6"/>
  <c r="K130" i="6"/>
  <c r="G131" i="6"/>
  <c r="H131" i="6"/>
  <c r="I131" i="6"/>
  <c r="J131" i="6"/>
  <c r="K131" i="6"/>
  <c r="G132" i="6"/>
  <c r="H132" i="6"/>
  <c r="I132" i="6"/>
  <c r="J132" i="6"/>
  <c r="K132" i="6"/>
  <c r="H105" i="6"/>
  <c r="H106" i="6"/>
  <c r="G108" i="6"/>
  <c r="H108" i="6"/>
  <c r="I108" i="6"/>
  <c r="J108" i="6"/>
  <c r="K108" i="6"/>
  <c r="G109" i="6"/>
  <c r="H109" i="6"/>
  <c r="I109" i="6"/>
  <c r="J109" i="6"/>
  <c r="K109" i="6"/>
  <c r="G110" i="6"/>
  <c r="H110" i="6"/>
  <c r="I110" i="6"/>
  <c r="J110" i="6"/>
  <c r="K110" i="6"/>
  <c r="K86" i="6"/>
  <c r="K87" i="6"/>
  <c r="K88" i="6"/>
  <c r="J87" i="6"/>
  <c r="J88" i="6"/>
  <c r="J86" i="6"/>
  <c r="G86" i="6"/>
  <c r="G87" i="6"/>
  <c r="G88" i="6"/>
  <c r="I88" i="6"/>
  <c r="I87" i="6"/>
  <c r="I86" i="6"/>
  <c r="H88" i="6"/>
  <c r="H87" i="6"/>
  <c r="H86" i="6"/>
  <c r="G64" i="6"/>
  <c r="H64" i="6"/>
  <c r="I64" i="6"/>
  <c r="J64" i="6"/>
  <c r="K64" i="6"/>
  <c r="G65" i="6"/>
  <c r="H65" i="6"/>
  <c r="I65" i="6"/>
  <c r="J65" i="6"/>
  <c r="K65" i="6"/>
  <c r="G66" i="6"/>
  <c r="H66" i="6"/>
  <c r="I66" i="6"/>
  <c r="J66" i="6"/>
  <c r="K66" i="6"/>
  <c r="G22" i="6"/>
  <c r="H22" i="6"/>
  <c r="I22" i="6"/>
  <c r="J22" i="6"/>
  <c r="K22" i="6"/>
  <c r="G130" i="3"/>
  <c r="H130" i="3"/>
  <c r="I130" i="3"/>
  <c r="J130" i="3"/>
  <c r="K130" i="3"/>
  <c r="G131" i="3"/>
  <c r="H131" i="3"/>
  <c r="I131" i="3"/>
  <c r="J131" i="3"/>
  <c r="K131" i="3"/>
  <c r="G132" i="3"/>
  <c r="H132" i="3"/>
  <c r="I132" i="3"/>
  <c r="J132" i="3"/>
  <c r="K132" i="3"/>
  <c r="G109" i="3"/>
  <c r="H109" i="3"/>
  <c r="I109" i="3"/>
  <c r="J109" i="3"/>
  <c r="K109" i="3"/>
  <c r="G110" i="3"/>
  <c r="H110" i="3"/>
  <c r="I110" i="3"/>
  <c r="J110" i="3"/>
  <c r="K110" i="3"/>
  <c r="G88" i="3"/>
  <c r="H88" i="3"/>
  <c r="I88" i="3"/>
  <c r="J88" i="3"/>
  <c r="K88" i="3"/>
  <c r="K66" i="3"/>
  <c r="J66" i="3"/>
  <c r="I66" i="3"/>
  <c r="H66" i="3"/>
  <c r="G66" i="3"/>
  <c r="K92" i="7" l="1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K91" i="7"/>
  <c r="J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91" i="7"/>
  <c r="K85" i="7"/>
  <c r="J85" i="7"/>
  <c r="I85" i="7"/>
  <c r="H85" i="7"/>
  <c r="G85" i="7"/>
  <c r="K84" i="7"/>
  <c r="J84" i="7"/>
  <c r="I84" i="7"/>
  <c r="H84" i="7"/>
  <c r="G84" i="7"/>
  <c r="K83" i="7"/>
  <c r="J83" i="7"/>
  <c r="I83" i="7"/>
  <c r="H83" i="7"/>
  <c r="G83" i="7"/>
  <c r="K82" i="7"/>
  <c r="J82" i="7"/>
  <c r="I82" i="7"/>
  <c r="H82" i="7"/>
  <c r="G82" i="7"/>
  <c r="K81" i="7"/>
  <c r="J81" i="7"/>
  <c r="I81" i="7"/>
  <c r="H81" i="7"/>
  <c r="G81" i="7"/>
  <c r="K80" i="7"/>
  <c r="J80" i="7"/>
  <c r="I80" i="7"/>
  <c r="H80" i="7"/>
  <c r="G80" i="7"/>
  <c r="K79" i="7"/>
  <c r="J79" i="7"/>
  <c r="I79" i="7"/>
  <c r="H79" i="7"/>
  <c r="G79" i="7"/>
  <c r="K78" i="7"/>
  <c r="J78" i="7"/>
  <c r="I78" i="7"/>
  <c r="H78" i="7"/>
  <c r="G78" i="7"/>
  <c r="K77" i="7"/>
  <c r="J77" i="7"/>
  <c r="I77" i="7"/>
  <c r="H77" i="7"/>
  <c r="G77" i="7"/>
  <c r="K76" i="7"/>
  <c r="J76" i="7"/>
  <c r="I76" i="7"/>
  <c r="H76" i="7"/>
  <c r="G76" i="7"/>
  <c r="K75" i="7"/>
  <c r="J75" i="7"/>
  <c r="I75" i="7"/>
  <c r="H75" i="7"/>
  <c r="G75" i="7"/>
  <c r="K74" i="7"/>
  <c r="J74" i="7"/>
  <c r="I74" i="7"/>
  <c r="H74" i="7"/>
  <c r="G74" i="7"/>
  <c r="K73" i="7"/>
  <c r="J73" i="7"/>
  <c r="I73" i="7"/>
  <c r="H73" i="7"/>
  <c r="G73" i="7"/>
  <c r="K72" i="7"/>
  <c r="J72" i="7"/>
  <c r="I72" i="7"/>
  <c r="H72" i="7"/>
  <c r="G72" i="7"/>
  <c r="K71" i="7"/>
  <c r="J71" i="7"/>
  <c r="I71" i="7"/>
  <c r="H71" i="7"/>
  <c r="G71" i="7"/>
  <c r="K70" i="7"/>
  <c r="J70" i="7"/>
  <c r="I70" i="7"/>
  <c r="H70" i="7"/>
  <c r="G70" i="7"/>
  <c r="K69" i="7"/>
  <c r="J69" i="7"/>
  <c r="I69" i="7"/>
  <c r="H69" i="7"/>
  <c r="G69" i="7"/>
  <c r="K63" i="7"/>
  <c r="J63" i="7"/>
  <c r="I63" i="7"/>
  <c r="H63" i="7"/>
  <c r="G63" i="7"/>
  <c r="K62" i="7"/>
  <c r="J62" i="7"/>
  <c r="I62" i="7"/>
  <c r="H62" i="7"/>
  <c r="G62" i="7"/>
  <c r="K61" i="7"/>
  <c r="J61" i="7"/>
  <c r="I61" i="7"/>
  <c r="H61" i="7"/>
  <c r="G61" i="7"/>
  <c r="K60" i="7"/>
  <c r="J60" i="7"/>
  <c r="I60" i="7"/>
  <c r="H60" i="7"/>
  <c r="G60" i="7"/>
  <c r="K59" i="7"/>
  <c r="J59" i="7"/>
  <c r="I59" i="7"/>
  <c r="H59" i="7"/>
  <c r="G59" i="7"/>
  <c r="K58" i="7"/>
  <c r="J58" i="7"/>
  <c r="I58" i="7"/>
  <c r="H58" i="7"/>
  <c r="G58" i="7"/>
  <c r="K57" i="7"/>
  <c r="J57" i="7"/>
  <c r="I57" i="7"/>
  <c r="H57" i="7"/>
  <c r="G57" i="7"/>
  <c r="K56" i="7"/>
  <c r="J56" i="7"/>
  <c r="I56" i="7"/>
  <c r="H56" i="7"/>
  <c r="G56" i="7"/>
  <c r="K55" i="7"/>
  <c r="J55" i="7"/>
  <c r="I55" i="7"/>
  <c r="H55" i="7"/>
  <c r="G55" i="7"/>
  <c r="K54" i="7"/>
  <c r="J54" i="7"/>
  <c r="I54" i="7"/>
  <c r="H54" i="7"/>
  <c r="G54" i="7"/>
  <c r="K53" i="7"/>
  <c r="J53" i="7"/>
  <c r="I53" i="7"/>
  <c r="H53" i="7"/>
  <c r="G53" i="7"/>
  <c r="K52" i="7"/>
  <c r="J52" i="7"/>
  <c r="I52" i="7"/>
  <c r="H52" i="7"/>
  <c r="G52" i="7"/>
  <c r="K51" i="7"/>
  <c r="J51" i="7"/>
  <c r="I51" i="7"/>
  <c r="H51" i="7"/>
  <c r="G51" i="7"/>
  <c r="K50" i="7"/>
  <c r="J50" i="7"/>
  <c r="I50" i="7"/>
  <c r="H50" i="7"/>
  <c r="G50" i="7"/>
  <c r="K49" i="7"/>
  <c r="J49" i="7"/>
  <c r="I49" i="7"/>
  <c r="H49" i="7"/>
  <c r="G49" i="7"/>
  <c r="K48" i="7"/>
  <c r="J48" i="7"/>
  <c r="I48" i="7"/>
  <c r="H48" i="7"/>
  <c r="G48" i="7"/>
  <c r="K47" i="7"/>
  <c r="J47" i="7"/>
  <c r="I47" i="7"/>
  <c r="H47" i="7"/>
  <c r="G47" i="7"/>
  <c r="K44" i="7"/>
  <c r="J44" i="7"/>
  <c r="I44" i="7"/>
  <c r="G44" i="7"/>
  <c r="K43" i="7"/>
  <c r="J43" i="7"/>
  <c r="I43" i="7"/>
  <c r="G43" i="7"/>
  <c r="K42" i="7"/>
  <c r="J42" i="7"/>
  <c r="I42" i="7"/>
  <c r="G42" i="7"/>
  <c r="K41" i="7"/>
  <c r="J41" i="7"/>
  <c r="I41" i="7"/>
  <c r="G41" i="7"/>
  <c r="K40" i="7"/>
  <c r="J40" i="7"/>
  <c r="I40" i="7"/>
  <c r="G40" i="7"/>
  <c r="K39" i="7"/>
  <c r="J39" i="7"/>
  <c r="I39" i="7"/>
  <c r="G39" i="7"/>
  <c r="K38" i="7"/>
  <c r="J38" i="7"/>
  <c r="I38" i="7"/>
  <c r="G38" i="7"/>
  <c r="K37" i="7"/>
  <c r="J37" i="7"/>
  <c r="I37" i="7"/>
  <c r="G37" i="7"/>
  <c r="K36" i="7"/>
  <c r="J36" i="7"/>
  <c r="I36" i="7"/>
  <c r="G36" i="7"/>
  <c r="K35" i="7"/>
  <c r="J35" i="7"/>
  <c r="I35" i="7"/>
  <c r="G35" i="7"/>
  <c r="K34" i="7"/>
  <c r="J34" i="7"/>
  <c r="I34" i="7"/>
  <c r="G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2" i="7"/>
  <c r="I22" i="7"/>
  <c r="H22" i="7"/>
  <c r="G22" i="7"/>
  <c r="K20" i="7"/>
  <c r="I20" i="7"/>
  <c r="H20" i="7"/>
  <c r="G20" i="7"/>
  <c r="K19" i="7"/>
  <c r="I19" i="7"/>
  <c r="H19" i="7"/>
  <c r="G19" i="7"/>
  <c r="K18" i="7"/>
  <c r="J18" i="7"/>
  <c r="I18" i="7"/>
  <c r="H18" i="7"/>
  <c r="G18" i="7"/>
  <c r="K17" i="7"/>
  <c r="J17" i="7"/>
  <c r="I17" i="7"/>
  <c r="H17" i="7"/>
  <c r="G17" i="7"/>
  <c r="K16" i="7"/>
  <c r="J16" i="7"/>
  <c r="I16" i="7"/>
  <c r="H16" i="7"/>
  <c r="G16" i="7"/>
  <c r="K15" i="7"/>
  <c r="J15" i="7"/>
  <c r="I15" i="7"/>
  <c r="H15" i="7"/>
  <c r="G15" i="7"/>
  <c r="K14" i="7"/>
  <c r="J14" i="7"/>
  <c r="I14" i="7"/>
  <c r="H14" i="7"/>
  <c r="G14" i="7"/>
  <c r="K13" i="7"/>
  <c r="J13" i="7"/>
  <c r="I13" i="7"/>
  <c r="H13" i="7"/>
  <c r="G13" i="7"/>
  <c r="K12" i="7"/>
  <c r="J12" i="7"/>
  <c r="I12" i="7"/>
  <c r="H12" i="7"/>
  <c r="G12" i="7"/>
  <c r="K11" i="7"/>
  <c r="J11" i="7"/>
  <c r="I11" i="7"/>
  <c r="H11" i="7"/>
  <c r="G11" i="7"/>
  <c r="K10" i="7"/>
  <c r="J10" i="7"/>
  <c r="I10" i="7"/>
  <c r="H10" i="7"/>
  <c r="G10" i="7"/>
  <c r="K9" i="7"/>
  <c r="J9" i="7"/>
  <c r="I9" i="7"/>
  <c r="H9" i="7"/>
  <c r="G9" i="7"/>
  <c r="K8" i="7"/>
  <c r="J8" i="7"/>
  <c r="I8" i="7"/>
  <c r="H8" i="7"/>
  <c r="G8" i="7"/>
  <c r="K7" i="7"/>
  <c r="J7" i="7"/>
  <c r="I7" i="7"/>
  <c r="H7" i="7"/>
  <c r="G7" i="7"/>
  <c r="K6" i="7"/>
  <c r="J6" i="7"/>
  <c r="I6" i="7"/>
  <c r="H6" i="7"/>
  <c r="G6" i="7"/>
  <c r="K5" i="7"/>
  <c r="J5" i="7"/>
  <c r="I5" i="7"/>
  <c r="H5" i="7"/>
  <c r="G5" i="7"/>
  <c r="K4" i="7"/>
  <c r="J4" i="7"/>
  <c r="I4" i="7"/>
  <c r="H4" i="7"/>
  <c r="G4" i="7"/>
  <c r="K3" i="7"/>
  <c r="J3" i="7"/>
  <c r="I3" i="7"/>
  <c r="H3" i="7"/>
  <c r="G3" i="7"/>
  <c r="K129" i="6"/>
  <c r="J129" i="6"/>
  <c r="I129" i="6"/>
  <c r="H129" i="6"/>
  <c r="G129" i="6"/>
  <c r="K128" i="6"/>
  <c r="J128" i="6"/>
  <c r="I128" i="6"/>
  <c r="H128" i="6"/>
  <c r="G128" i="6"/>
  <c r="K127" i="6"/>
  <c r="J127" i="6"/>
  <c r="I127" i="6"/>
  <c r="H127" i="6"/>
  <c r="G127" i="6"/>
  <c r="K126" i="6"/>
  <c r="J126" i="6"/>
  <c r="I126" i="6"/>
  <c r="H126" i="6"/>
  <c r="G126" i="6"/>
  <c r="K125" i="6"/>
  <c r="J125" i="6"/>
  <c r="I125" i="6"/>
  <c r="H125" i="6"/>
  <c r="G125" i="6"/>
  <c r="K124" i="6"/>
  <c r="J124" i="6"/>
  <c r="I124" i="6"/>
  <c r="H124" i="6"/>
  <c r="G124" i="6"/>
  <c r="K123" i="6"/>
  <c r="J123" i="6"/>
  <c r="I123" i="6"/>
  <c r="H123" i="6"/>
  <c r="G123" i="6"/>
  <c r="K122" i="6"/>
  <c r="J122" i="6"/>
  <c r="I122" i="6"/>
  <c r="H122" i="6"/>
  <c r="G122" i="6"/>
  <c r="K121" i="6"/>
  <c r="J121" i="6"/>
  <c r="I121" i="6"/>
  <c r="H121" i="6"/>
  <c r="G121" i="6"/>
  <c r="K120" i="6"/>
  <c r="J120" i="6"/>
  <c r="I120" i="6"/>
  <c r="H120" i="6"/>
  <c r="G120" i="6"/>
  <c r="K119" i="6"/>
  <c r="J119" i="6"/>
  <c r="I119" i="6"/>
  <c r="H119" i="6"/>
  <c r="G119" i="6"/>
  <c r="K118" i="6"/>
  <c r="J118" i="6"/>
  <c r="I118" i="6"/>
  <c r="H118" i="6"/>
  <c r="G118" i="6"/>
  <c r="K117" i="6"/>
  <c r="J117" i="6"/>
  <c r="I117" i="6"/>
  <c r="H117" i="6"/>
  <c r="G117" i="6"/>
  <c r="K116" i="6"/>
  <c r="J116" i="6"/>
  <c r="I116" i="6"/>
  <c r="H116" i="6"/>
  <c r="G116" i="6"/>
  <c r="K115" i="6"/>
  <c r="J115" i="6"/>
  <c r="I115" i="6"/>
  <c r="H115" i="6"/>
  <c r="G115" i="6"/>
  <c r="K114" i="6"/>
  <c r="J114" i="6"/>
  <c r="I114" i="6"/>
  <c r="H114" i="6"/>
  <c r="G114" i="6"/>
  <c r="K113" i="6"/>
  <c r="J113" i="6"/>
  <c r="I113" i="6"/>
  <c r="H113" i="6"/>
  <c r="G113" i="6"/>
  <c r="K107" i="6"/>
  <c r="J107" i="6"/>
  <c r="I107" i="6"/>
  <c r="H107" i="6"/>
  <c r="G107" i="6"/>
  <c r="K106" i="6"/>
  <c r="J106" i="6"/>
  <c r="I106" i="6"/>
  <c r="G106" i="6"/>
  <c r="K105" i="6"/>
  <c r="J105" i="6"/>
  <c r="I105" i="6"/>
  <c r="G105" i="6"/>
  <c r="K104" i="6"/>
  <c r="J104" i="6"/>
  <c r="I104" i="6"/>
  <c r="H104" i="6"/>
  <c r="G104" i="6"/>
  <c r="K103" i="6"/>
  <c r="J103" i="6"/>
  <c r="I103" i="6"/>
  <c r="H103" i="6"/>
  <c r="G103" i="6"/>
  <c r="K102" i="6"/>
  <c r="J102" i="6"/>
  <c r="I102" i="6"/>
  <c r="H102" i="6"/>
  <c r="G102" i="6"/>
  <c r="K101" i="6"/>
  <c r="J101" i="6"/>
  <c r="I101" i="6"/>
  <c r="H101" i="6"/>
  <c r="G101" i="6"/>
  <c r="K100" i="6"/>
  <c r="J100" i="6"/>
  <c r="I100" i="6"/>
  <c r="H100" i="6"/>
  <c r="G100" i="6"/>
  <c r="K99" i="6"/>
  <c r="J99" i="6"/>
  <c r="I99" i="6"/>
  <c r="H99" i="6"/>
  <c r="G99" i="6"/>
  <c r="K98" i="6"/>
  <c r="J98" i="6"/>
  <c r="I98" i="6"/>
  <c r="H98" i="6"/>
  <c r="G98" i="6"/>
  <c r="K97" i="6"/>
  <c r="J97" i="6"/>
  <c r="I97" i="6"/>
  <c r="H97" i="6"/>
  <c r="G97" i="6"/>
  <c r="K96" i="6"/>
  <c r="J96" i="6"/>
  <c r="I96" i="6"/>
  <c r="H96" i="6"/>
  <c r="G96" i="6"/>
  <c r="K95" i="6"/>
  <c r="J95" i="6"/>
  <c r="I95" i="6"/>
  <c r="H95" i="6"/>
  <c r="G95" i="6"/>
  <c r="K94" i="6"/>
  <c r="J94" i="6"/>
  <c r="I94" i="6"/>
  <c r="H94" i="6"/>
  <c r="G94" i="6"/>
  <c r="K93" i="6"/>
  <c r="J93" i="6"/>
  <c r="I93" i="6"/>
  <c r="H93" i="6"/>
  <c r="G93" i="6"/>
  <c r="K92" i="6"/>
  <c r="J92" i="6"/>
  <c r="I92" i="6"/>
  <c r="H92" i="6"/>
  <c r="G92" i="6"/>
  <c r="K91" i="6"/>
  <c r="J91" i="6"/>
  <c r="I91" i="6"/>
  <c r="H91" i="6"/>
  <c r="G91" i="6"/>
  <c r="K85" i="6"/>
  <c r="J85" i="6"/>
  <c r="I85" i="6"/>
  <c r="H85" i="6"/>
  <c r="G85" i="6"/>
  <c r="K84" i="6"/>
  <c r="J84" i="6"/>
  <c r="I84" i="6"/>
  <c r="H84" i="6"/>
  <c r="G84" i="6"/>
  <c r="K83" i="6"/>
  <c r="J83" i="6"/>
  <c r="I83" i="6"/>
  <c r="H83" i="6"/>
  <c r="G83" i="6"/>
  <c r="K82" i="6"/>
  <c r="J82" i="6"/>
  <c r="I82" i="6"/>
  <c r="H82" i="6"/>
  <c r="G82" i="6"/>
  <c r="K81" i="6"/>
  <c r="J81" i="6"/>
  <c r="I81" i="6"/>
  <c r="H81" i="6"/>
  <c r="G81" i="6"/>
  <c r="K80" i="6"/>
  <c r="J80" i="6"/>
  <c r="I80" i="6"/>
  <c r="H80" i="6"/>
  <c r="G80" i="6"/>
  <c r="K79" i="6"/>
  <c r="J79" i="6"/>
  <c r="I79" i="6"/>
  <c r="H79" i="6"/>
  <c r="G79" i="6"/>
  <c r="K78" i="6"/>
  <c r="J78" i="6"/>
  <c r="I78" i="6"/>
  <c r="H78" i="6"/>
  <c r="G78" i="6"/>
  <c r="K77" i="6"/>
  <c r="J77" i="6"/>
  <c r="I77" i="6"/>
  <c r="H77" i="6"/>
  <c r="G77" i="6"/>
  <c r="K76" i="6"/>
  <c r="J76" i="6"/>
  <c r="I76" i="6"/>
  <c r="H76" i="6"/>
  <c r="G76" i="6"/>
  <c r="K75" i="6"/>
  <c r="J75" i="6"/>
  <c r="I75" i="6"/>
  <c r="H75" i="6"/>
  <c r="G75" i="6"/>
  <c r="K74" i="6"/>
  <c r="J74" i="6"/>
  <c r="I74" i="6"/>
  <c r="H74" i="6"/>
  <c r="G74" i="6"/>
  <c r="K73" i="6"/>
  <c r="J73" i="6"/>
  <c r="I73" i="6"/>
  <c r="H73" i="6"/>
  <c r="G73" i="6"/>
  <c r="K72" i="6"/>
  <c r="J72" i="6"/>
  <c r="I72" i="6"/>
  <c r="H72" i="6"/>
  <c r="G72" i="6"/>
  <c r="K71" i="6"/>
  <c r="J71" i="6"/>
  <c r="I71" i="6"/>
  <c r="H71" i="6"/>
  <c r="G71" i="6"/>
  <c r="K70" i="6"/>
  <c r="J70" i="6"/>
  <c r="I70" i="6"/>
  <c r="H70" i="6"/>
  <c r="G70" i="6"/>
  <c r="K69" i="6"/>
  <c r="J69" i="6"/>
  <c r="I69" i="6"/>
  <c r="H69" i="6"/>
  <c r="G69" i="6"/>
  <c r="K63" i="6"/>
  <c r="J63" i="6"/>
  <c r="I63" i="6"/>
  <c r="H63" i="6"/>
  <c r="G63" i="6"/>
  <c r="K62" i="6"/>
  <c r="J62" i="6"/>
  <c r="I62" i="6"/>
  <c r="H62" i="6"/>
  <c r="G62" i="6"/>
  <c r="K61" i="6"/>
  <c r="J61" i="6"/>
  <c r="I61" i="6"/>
  <c r="H61" i="6"/>
  <c r="G61" i="6"/>
  <c r="K60" i="6"/>
  <c r="J60" i="6"/>
  <c r="I60" i="6"/>
  <c r="H60" i="6"/>
  <c r="G60" i="6"/>
  <c r="K59" i="6"/>
  <c r="J59" i="6"/>
  <c r="I59" i="6"/>
  <c r="H59" i="6"/>
  <c r="G59" i="6"/>
  <c r="K58" i="6"/>
  <c r="J58" i="6"/>
  <c r="I58" i="6"/>
  <c r="H58" i="6"/>
  <c r="G58" i="6"/>
  <c r="K57" i="6"/>
  <c r="J57" i="6"/>
  <c r="I57" i="6"/>
  <c r="H57" i="6"/>
  <c r="G57" i="6"/>
  <c r="K56" i="6"/>
  <c r="J56" i="6"/>
  <c r="I56" i="6"/>
  <c r="H56" i="6"/>
  <c r="G56" i="6"/>
  <c r="K55" i="6"/>
  <c r="J55" i="6"/>
  <c r="I55" i="6"/>
  <c r="H55" i="6"/>
  <c r="G55" i="6"/>
  <c r="K54" i="6"/>
  <c r="J54" i="6"/>
  <c r="I54" i="6"/>
  <c r="H54" i="6"/>
  <c r="G54" i="6"/>
  <c r="K53" i="6"/>
  <c r="J53" i="6"/>
  <c r="I53" i="6"/>
  <c r="H53" i="6"/>
  <c r="G53" i="6"/>
  <c r="K52" i="6"/>
  <c r="J52" i="6"/>
  <c r="I52" i="6"/>
  <c r="H52" i="6"/>
  <c r="G52" i="6"/>
  <c r="K51" i="6"/>
  <c r="J51" i="6"/>
  <c r="I51" i="6"/>
  <c r="H51" i="6"/>
  <c r="G51" i="6"/>
  <c r="K50" i="6"/>
  <c r="J50" i="6"/>
  <c r="I50" i="6"/>
  <c r="H50" i="6"/>
  <c r="G50" i="6"/>
  <c r="K49" i="6"/>
  <c r="J49" i="6"/>
  <c r="I49" i="6"/>
  <c r="H49" i="6"/>
  <c r="G49" i="6"/>
  <c r="K48" i="6"/>
  <c r="J48" i="6"/>
  <c r="I48" i="6"/>
  <c r="H48" i="6"/>
  <c r="G48" i="6"/>
  <c r="K47" i="6"/>
  <c r="J47" i="6"/>
  <c r="I47" i="6"/>
  <c r="H47" i="6"/>
  <c r="G47" i="6"/>
  <c r="K21" i="6"/>
  <c r="J21" i="6"/>
  <c r="I21" i="6"/>
  <c r="H21" i="6"/>
  <c r="G21" i="6"/>
  <c r="K20" i="6"/>
  <c r="J20" i="6"/>
  <c r="I20" i="6"/>
  <c r="H20" i="6"/>
  <c r="G20" i="6"/>
  <c r="K19" i="6"/>
  <c r="J19" i="6"/>
  <c r="I19" i="6"/>
  <c r="H19" i="6"/>
  <c r="G19" i="6"/>
  <c r="K18" i="6"/>
  <c r="J18" i="6"/>
  <c r="I18" i="6"/>
  <c r="H18" i="6"/>
  <c r="G18" i="6"/>
  <c r="K17" i="6"/>
  <c r="J17" i="6"/>
  <c r="I17" i="6"/>
  <c r="H17" i="6"/>
  <c r="G17" i="6"/>
  <c r="K16" i="6"/>
  <c r="J16" i="6"/>
  <c r="I16" i="6"/>
  <c r="H16" i="6"/>
  <c r="G16" i="6"/>
  <c r="K15" i="6"/>
  <c r="J15" i="6"/>
  <c r="I15" i="6"/>
  <c r="H15" i="6"/>
  <c r="G15" i="6"/>
  <c r="K14" i="6"/>
  <c r="J14" i="6"/>
  <c r="I14" i="6"/>
  <c r="H14" i="6"/>
  <c r="G14" i="6"/>
  <c r="K13" i="6"/>
  <c r="J13" i="6"/>
  <c r="I13" i="6"/>
  <c r="H13" i="6"/>
  <c r="G13" i="6"/>
  <c r="K12" i="6"/>
  <c r="J12" i="6"/>
  <c r="I12" i="6"/>
  <c r="H12" i="6"/>
  <c r="G12" i="6"/>
  <c r="K11" i="6"/>
  <c r="J11" i="6"/>
  <c r="I11" i="6"/>
  <c r="H11" i="6"/>
  <c r="G11" i="6"/>
  <c r="K10" i="6"/>
  <c r="J10" i="6"/>
  <c r="I10" i="6"/>
  <c r="H10" i="6"/>
  <c r="G10" i="6"/>
  <c r="K9" i="6"/>
  <c r="J9" i="6"/>
  <c r="I9" i="6"/>
  <c r="H9" i="6"/>
  <c r="G9" i="6"/>
  <c r="K8" i="6"/>
  <c r="J8" i="6"/>
  <c r="I8" i="6"/>
  <c r="H8" i="6"/>
  <c r="G8" i="6"/>
  <c r="K7" i="6"/>
  <c r="J7" i="6"/>
  <c r="I7" i="6"/>
  <c r="H7" i="6"/>
  <c r="G7" i="6"/>
  <c r="K6" i="6"/>
  <c r="J6" i="6"/>
  <c r="I6" i="6"/>
  <c r="H6" i="6"/>
  <c r="G6" i="6"/>
  <c r="K5" i="6"/>
  <c r="J5" i="6"/>
  <c r="I5" i="6"/>
  <c r="H5" i="6"/>
  <c r="G5" i="6"/>
  <c r="K4" i="6"/>
  <c r="J4" i="6"/>
  <c r="I4" i="6"/>
  <c r="H4" i="6"/>
  <c r="G4" i="6"/>
  <c r="K3" i="6"/>
  <c r="J3" i="6"/>
  <c r="I3" i="6"/>
  <c r="H3" i="6"/>
  <c r="G3" i="6"/>
  <c r="K129" i="3"/>
  <c r="J129" i="3"/>
  <c r="I129" i="3"/>
  <c r="H129" i="3"/>
  <c r="G129" i="3"/>
  <c r="K128" i="3"/>
  <c r="J128" i="3"/>
  <c r="I128" i="3"/>
  <c r="H128" i="3"/>
  <c r="G128" i="3"/>
  <c r="K127" i="3"/>
  <c r="J127" i="3"/>
  <c r="I127" i="3"/>
  <c r="H127" i="3"/>
  <c r="G127" i="3"/>
  <c r="K126" i="3"/>
  <c r="J126" i="3"/>
  <c r="I126" i="3"/>
  <c r="H126" i="3"/>
  <c r="G126" i="3"/>
  <c r="K125" i="3"/>
  <c r="J125" i="3"/>
  <c r="I125" i="3"/>
  <c r="H125" i="3"/>
  <c r="G125" i="3"/>
  <c r="K124" i="3"/>
  <c r="J124" i="3"/>
  <c r="I124" i="3"/>
  <c r="H124" i="3"/>
  <c r="G124" i="3"/>
  <c r="K123" i="3"/>
  <c r="J123" i="3"/>
  <c r="I123" i="3"/>
  <c r="H123" i="3"/>
  <c r="G123" i="3"/>
  <c r="K122" i="3"/>
  <c r="J122" i="3"/>
  <c r="I122" i="3"/>
  <c r="H122" i="3"/>
  <c r="G122" i="3"/>
  <c r="K121" i="3"/>
  <c r="J121" i="3"/>
  <c r="I121" i="3"/>
  <c r="H121" i="3"/>
  <c r="G121" i="3"/>
  <c r="K120" i="3"/>
  <c r="J120" i="3"/>
  <c r="I120" i="3"/>
  <c r="H120" i="3"/>
  <c r="G120" i="3"/>
  <c r="K119" i="3"/>
  <c r="J119" i="3"/>
  <c r="I119" i="3"/>
  <c r="H119" i="3"/>
  <c r="G119" i="3"/>
  <c r="K118" i="3"/>
  <c r="J118" i="3"/>
  <c r="I118" i="3"/>
  <c r="H118" i="3"/>
  <c r="G118" i="3"/>
  <c r="K117" i="3"/>
  <c r="J117" i="3"/>
  <c r="I117" i="3"/>
  <c r="H117" i="3"/>
  <c r="G117" i="3"/>
  <c r="K116" i="3"/>
  <c r="J116" i="3"/>
  <c r="I116" i="3"/>
  <c r="H116" i="3"/>
  <c r="G116" i="3"/>
  <c r="K115" i="3"/>
  <c r="J115" i="3"/>
  <c r="I115" i="3"/>
  <c r="H115" i="3"/>
  <c r="G115" i="3"/>
  <c r="K114" i="3"/>
  <c r="J114" i="3"/>
  <c r="I114" i="3"/>
  <c r="H114" i="3"/>
  <c r="G114" i="3"/>
  <c r="K113" i="3"/>
  <c r="J113" i="3"/>
  <c r="I113" i="3"/>
  <c r="H113" i="3"/>
  <c r="G113" i="3"/>
  <c r="K108" i="3"/>
  <c r="J108" i="3"/>
  <c r="I108" i="3"/>
  <c r="H108" i="3"/>
  <c r="G108" i="3"/>
  <c r="K107" i="3"/>
  <c r="J107" i="3"/>
  <c r="I107" i="3"/>
  <c r="H107" i="3"/>
  <c r="G107" i="3"/>
  <c r="K106" i="3"/>
  <c r="J106" i="3"/>
  <c r="I106" i="3"/>
  <c r="H106" i="3"/>
  <c r="G106" i="3"/>
  <c r="K105" i="3"/>
  <c r="J105" i="3"/>
  <c r="I105" i="3"/>
  <c r="H105" i="3"/>
  <c r="G105" i="3"/>
  <c r="K104" i="3"/>
  <c r="J104" i="3"/>
  <c r="I104" i="3"/>
  <c r="H104" i="3"/>
  <c r="G104" i="3"/>
  <c r="K103" i="3"/>
  <c r="J103" i="3"/>
  <c r="I103" i="3"/>
  <c r="H103" i="3"/>
  <c r="G103" i="3"/>
  <c r="K102" i="3"/>
  <c r="J102" i="3"/>
  <c r="I102" i="3"/>
  <c r="H102" i="3"/>
  <c r="G102" i="3"/>
  <c r="K101" i="3"/>
  <c r="J101" i="3"/>
  <c r="I101" i="3"/>
  <c r="H101" i="3"/>
  <c r="G101" i="3"/>
  <c r="K100" i="3"/>
  <c r="J100" i="3"/>
  <c r="I100" i="3"/>
  <c r="H100" i="3"/>
  <c r="G100" i="3"/>
  <c r="K99" i="3"/>
  <c r="J99" i="3"/>
  <c r="I99" i="3"/>
  <c r="H99" i="3"/>
  <c r="G99" i="3"/>
  <c r="K98" i="3"/>
  <c r="J98" i="3"/>
  <c r="I98" i="3"/>
  <c r="H98" i="3"/>
  <c r="G98" i="3"/>
  <c r="K97" i="3"/>
  <c r="J97" i="3"/>
  <c r="I97" i="3"/>
  <c r="H97" i="3"/>
  <c r="G97" i="3"/>
  <c r="K96" i="3"/>
  <c r="J96" i="3"/>
  <c r="I96" i="3"/>
  <c r="H96" i="3"/>
  <c r="G96" i="3"/>
  <c r="K95" i="3"/>
  <c r="J95" i="3"/>
  <c r="I95" i="3"/>
  <c r="H95" i="3"/>
  <c r="G95" i="3"/>
  <c r="K94" i="3"/>
  <c r="J94" i="3"/>
  <c r="I94" i="3"/>
  <c r="H94" i="3"/>
  <c r="G94" i="3"/>
  <c r="K93" i="3"/>
  <c r="J93" i="3"/>
  <c r="I93" i="3"/>
  <c r="H93" i="3"/>
  <c r="G93" i="3"/>
  <c r="K92" i="3"/>
  <c r="J92" i="3"/>
  <c r="I92" i="3"/>
  <c r="H92" i="3"/>
  <c r="G92" i="3"/>
  <c r="K91" i="3"/>
  <c r="J91" i="3"/>
  <c r="I91" i="3"/>
  <c r="H91" i="3"/>
  <c r="G91" i="3"/>
  <c r="K87" i="3"/>
  <c r="J87" i="3"/>
  <c r="I87" i="3"/>
  <c r="H87" i="3"/>
  <c r="G87" i="3"/>
  <c r="K86" i="3"/>
  <c r="J86" i="3"/>
  <c r="I86" i="3"/>
  <c r="H86" i="3"/>
  <c r="G86" i="3"/>
  <c r="K85" i="3"/>
  <c r="J85" i="3"/>
  <c r="I85" i="3"/>
  <c r="H85" i="3"/>
  <c r="G85" i="3"/>
  <c r="K84" i="3"/>
  <c r="J84" i="3"/>
  <c r="I84" i="3"/>
  <c r="H84" i="3"/>
  <c r="G84" i="3"/>
  <c r="K83" i="3"/>
  <c r="J83" i="3"/>
  <c r="I83" i="3"/>
  <c r="H83" i="3"/>
  <c r="G83" i="3"/>
  <c r="K82" i="3"/>
  <c r="J82" i="3"/>
  <c r="I82" i="3"/>
  <c r="H82" i="3"/>
  <c r="G82" i="3"/>
  <c r="K81" i="3"/>
  <c r="J81" i="3"/>
  <c r="I81" i="3"/>
  <c r="H81" i="3"/>
  <c r="G81" i="3"/>
  <c r="K80" i="3"/>
  <c r="J80" i="3"/>
  <c r="I80" i="3"/>
  <c r="H80" i="3"/>
  <c r="G80" i="3"/>
  <c r="K79" i="3"/>
  <c r="J79" i="3"/>
  <c r="I79" i="3"/>
  <c r="H79" i="3"/>
  <c r="G79" i="3"/>
  <c r="K78" i="3"/>
  <c r="J78" i="3"/>
  <c r="I78" i="3"/>
  <c r="H78" i="3"/>
  <c r="G78" i="3"/>
  <c r="K77" i="3"/>
  <c r="J77" i="3"/>
  <c r="I77" i="3"/>
  <c r="H77" i="3"/>
  <c r="G77" i="3"/>
  <c r="K76" i="3"/>
  <c r="J76" i="3"/>
  <c r="I76" i="3"/>
  <c r="H76" i="3"/>
  <c r="G76" i="3"/>
  <c r="K75" i="3"/>
  <c r="J75" i="3"/>
  <c r="I75" i="3"/>
  <c r="H75" i="3"/>
  <c r="G75" i="3"/>
  <c r="K74" i="3"/>
  <c r="J74" i="3"/>
  <c r="I74" i="3"/>
  <c r="H74" i="3"/>
  <c r="G74" i="3"/>
  <c r="K73" i="3"/>
  <c r="J73" i="3"/>
  <c r="I73" i="3"/>
  <c r="H73" i="3"/>
  <c r="G73" i="3"/>
  <c r="K72" i="3"/>
  <c r="J72" i="3"/>
  <c r="I72" i="3"/>
  <c r="H72" i="3"/>
  <c r="G72" i="3"/>
  <c r="K71" i="3"/>
  <c r="J71" i="3"/>
  <c r="I71" i="3"/>
  <c r="H71" i="3"/>
  <c r="G71" i="3"/>
  <c r="K70" i="3"/>
  <c r="J70" i="3"/>
  <c r="I70" i="3"/>
  <c r="H70" i="3"/>
  <c r="G70" i="3"/>
  <c r="K69" i="3"/>
  <c r="J69" i="3"/>
  <c r="I69" i="3"/>
  <c r="H69" i="3"/>
  <c r="G69" i="3"/>
  <c r="K44" i="6"/>
  <c r="J44" i="6"/>
  <c r="I44" i="6"/>
  <c r="H44" i="6"/>
  <c r="G44" i="6"/>
  <c r="K43" i="6"/>
  <c r="J43" i="6"/>
  <c r="I43" i="6"/>
  <c r="H43" i="6"/>
  <c r="G43" i="6"/>
  <c r="K42" i="6"/>
  <c r="J42" i="6"/>
  <c r="I42" i="6"/>
  <c r="H42" i="6"/>
  <c r="G42" i="6"/>
  <c r="K41" i="6"/>
  <c r="J41" i="6"/>
  <c r="I41" i="6"/>
  <c r="H41" i="6"/>
  <c r="G41" i="6"/>
  <c r="K40" i="6"/>
  <c r="J40" i="6"/>
  <c r="I40" i="6"/>
  <c r="H40" i="6"/>
  <c r="G40" i="6"/>
  <c r="K39" i="6"/>
  <c r="J39" i="6"/>
  <c r="I39" i="6"/>
  <c r="H39" i="6"/>
  <c r="G39" i="6"/>
  <c r="K38" i="6"/>
  <c r="J38" i="6"/>
  <c r="I38" i="6"/>
  <c r="H38" i="6"/>
  <c r="G38" i="6"/>
  <c r="K37" i="6"/>
  <c r="J37" i="6"/>
  <c r="I37" i="6"/>
  <c r="H37" i="6"/>
  <c r="G37" i="6"/>
  <c r="K36" i="6"/>
  <c r="J36" i="6"/>
  <c r="I36" i="6"/>
  <c r="H36" i="6"/>
  <c r="G36" i="6"/>
  <c r="K35" i="6"/>
  <c r="J35" i="6"/>
  <c r="I35" i="6"/>
  <c r="H35" i="6"/>
  <c r="G35" i="6"/>
  <c r="K34" i="6"/>
  <c r="J34" i="6"/>
  <c r="I34" i="6"/>
  <c r="H34" i="6"/>
  <c r="G34" i="6"/>
  <c r="K33" i="6"/>
  <c r="J33" i="6"/>
  <c r="I33" i="6"/>
  <c r="H33" i="6"/>
  <c r="G33" i="6"/>
  <c r="K32" i="6"/>
  <c r="J32" i="6"/>
  <c r="I32" i="6"/>
  <c r="H32" i="6"/>
  <c r="G32" i="6"/>
  <c r="K31" i="6"/>
  <c r="J31" i="6"/>
  <c r="I31" i="6"/>
  <c r="H31" i="6"/>
  <c r="G31" i="6"/>
  <c r="K30" i="6"/>
  <c r="J30" i="6"/>
  <c r="I30" i="6"/>
  <c r="H30" i="6"/>
  <c r="G30" i="6"/>
  <c r="K29" i="6"/>
  <c r="J29" i="6"/>
  <c r="I29" i="6"/>
  <c r="H29" i="6"/>
  <c r="G29" i="6"/>
  <c r="K28" i="6"/>
  <c r="J28" i="6"/>
  <c r="I28" i="6"/>
  <c r="H28" i="6"/>
  <c r="G28" i="6"/>
  <c r="K27" i="6"/>
  <c r="J27" i="6"/>
  <c r="I27" i="6"/>
  <c r="H27" i="6"/>
  <c r="G27" i="6"/>
  <c r="K26" i="6"/>
  <c r="J26" i="6"/>
  <c r="I26" i="6"/>
  <c r="H26" i="6"/>
  <c r="G26" i="6"/>
  <c r="K25" i="6"/>
  <c r="J25" i="6"/>
  <c r="I25" i="6"/>
  <c r="H25" i="6"/>
  <c r="G25" i="6"/>
  <c r="K65" i="3"/>
  <c r="J65" i="3"/>
  <c r="I65" i="3"/>
  <c r="H65" i="3"/>
  <c r="G65" i="3"/>
  <c r="K64" i="3"/>
  <c r="J64" i="3"/>
  <c r="I64" i="3"/>
  <c r="H64" i="3"/>
  <c r="G64" i="3"/>
  <c r="K63" i="3"/>
  <c r="J63" i="3"/>
  <c r="I63" i="3"/>
  <c r="H63" i="3"/>
  <c r="G63" i="3"/>
  <c r="K62" i="3"/>
  <c r="J62" i="3"/>
  <c r="I62" i="3"/>
  <c r="H62" i="3"/>
  <c r="G62" i="3"/>
  <c r="K61" i="3"/>
  <c r="J61" i="3"/>
  <c r="I61" i="3"/>
  <c r="H61" i="3"/>
  <c r="G61" i="3"/>
  <c r="K60" i="3"/>
  <c r="J60" i="3"/>
  <c r="I60" i="3"/>
  <c r="H60" i="3"/>
  <c r="G60" i="3"/>
  <c r="K59" i="3"/>
  <c r="J59" i="3"/>
  <c r="I59" i="3"/>
  <c r="H59" i="3"/>
  <c r="G59" i="3"/>
  <c r="K58" i="3"/>
  <c r="J58" i="3"/>
  <c r="I58" i="3"/>
  <c r="H58" i="3"/>
  <c r="G58" i="3"/>
  <c r="K57" i="3"/>
  <c r="J57" i="3"/>
  <c r="I57" i="3"/>
  <c r="H57" i="3"/>
  <c r="G57" i="3"/>
  <c r="K56" i="3"/>
  <c r="J56" i="3"/>
  <c r="I56" i="3"/>
  <c r="H56" i="3"/>
  <c r="G56" i="3"/>
  <c r="K55" i="3"/>
  <c r="J55" i="3"/>
  <c r="I55" i="3"/>
  <c r="H55" i="3"/>
  <c r="G55" i="3"/>
  <c r="K54" i="3"/>
  <c r="J54" i="3"/>
  <c r="I54" i="3"/>
  <c r="H54" i="3"/>
  <c r="G54" i="3"/>
  <c r="K53" i="3"/>
  <c r="J53" i="3"/>
  <c r="I53" i="3"/>
  <c r="H53" i="3"/>
  <c r="G53" i="3"/>
  <c r="K52" i="3"/>
  <c r="J52" i="3"/>
  <c r="I52" i="3"/>
  <c r="H52" i="3"/>
  <c r="G52" i="3"/>
  <c r="K51" i="3"/>
  <c r="J51" i="3"/>
  <c r="I51" i="3"/>
  <c r="H51" i="3"/>
  <c r="G51" i="3"/>
  <c r="K50" i="3"/>
  <c r="J50" i="3"/>
  <c r="I50" i="3"/>
  <c r="H50" i="3"/>
  <c r="G50" i="3"/>
  <c r="K49" i="3"/>
  <c r="J49" i="3"/>
  <c r="I49" i="3"/>
  <c r="H49" i="3"/>
  <c r="G49" i="3"/>
  <c r="K48" i="3"/>
  <c r="J48" i="3"/>
  <c r="I48" i="3"/>
  <c r="H48" i="3"/>
  <c r="G48" i="3"/>
  <c r="K47" i="3"/>
  <c r="J47" i="3"/>
  <c r="I47" i="3"/>
  <c r="H47" i="3"/>
  <c r="G47" i="3"/>
  <c r="R11" i="2" l="1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P86" i="2" l="1"/>
  <c r="O86" i="2"/>
  <c r="N86" i="2"/>
  <c r="M86" i="2"/>
  <c r="H86" i="2"/>
  <c r="G86" i="2"/>
  <c r="F86" i="2"/>
  <c r="E86" i="2"/>
  <c r="P50" i="2"/>
  <c r="O50" i="2"/>
  <c r="N50" i="2"/>
  <c r="M50" i="2"/>
  <c r="H50" i="2"/>
  <c r="G50" i="2"/>
  <c r="F50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K4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K3" i="3"/>
  <c r="J3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K25" i="3"/>
  <c r="J25" i="3"/>
  <c r="I26" i="3" l="1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25" i="3"/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I3" i="3"/>
  <c r="H3" i="3"/>
  <c r="G3" i="3"/>
  <c r="M16" i="1" l="1"/>
  <c r="I16" i="1"/>
  <c r="H16" i="1"/>
  <c r="E16" i="1"/>
  <c r="D16" i="1"/>
  <c r="C16" i="1"/>
  <c r="F16" i="1"/>
  <c r="G16" i="1"/>
  <c r="J16" i="1"/>
  <c r="K16" i="1"/>
  <c r="L16" i="1"/>
  <c r="B16" i="1"/>
  <c r="M6" i="1"/>
  <c r="M11" i="1"/>
  <c r="I11" i="1"/>
  <c r="H11" i="1"/>
  <c r="E11" i="1"/>
  <c r="D11" i="1"/>
  <c r="C11" i="1"/>
  <c r="F11" i="1"/>
  <c r="G11" i="1"/>
  <c r="J11" i="1"/>
  <c r="K11" i="1"/>
  <c r="L11" i="1"/>
  <c r="B11" i="1"/>
  <c r="I6" i="1"/>
  <c r="H6" i="1"/>
  <c r="E6" i="1"/>
  <c r="D6" i="1"/>
  <c r="F6" i="1"/>
  <c r="G6" i="1"/>
  <c r="J6" i="1"/>
  <c r="K6" i="1"/>
  <c r="L6" i="1"/>
  <c r="C6" i="1"/>
  <c r="B6" i="1"/>
</calcChain>
</file>

<file path=xl/sharedStrings.xml><?xml version="1.0" encoding="utf-8"?>
<sst xmlns="http://schemas.openxmlformats.org/spreadsheetml/2006/main" count="707" uniqueCount="184">
  <si>
    <t>CA_124_7</t>
  </si>
  <si>
    <t>CS_301_7</t>
  </si>
  <si>
    <t>CS_301_8</t>
  </si>
  <si>
    <t>CS_301_RED_7</t>
  </si>
  <si>
    <t>CS_301_RED_8</t>
  </si>
  <si>
    <t>ICP vs GT</t>
  </si>
  <si>
    <t>CA_124_8</t>
  </si>
  <si>
    <t>mean</t>
  </si>
  <si>
    <t>SD</t>
  </si>
  <si>
    <t>abs vs GT</t>
  </si>
  <si>
    <t>3d position</t>
  </si>
  <si>
    <t>Post registration</t>
  </si>
  <si>
    <t>trans</t>
  </si>
  <si>
    <t>rot</t>
  </si>
  <si>
    <t>Translation Error</t>
  </si>
  <si>
    <t>Rotation Error</t>
  </si>
  <si>
    <t>CAP (63 electrodes)</t>
  </si>
  <si>
    <t>CAP (23 electrodes) 2</t>
  </si>
  <si>
    <t>ICP vs Ground truth</t>
  </si>
  <si>
    <t>CAP (23 electrodes) 1</t>
  </si>
  <si>
    <t>3D electrode position</t>
  </si>
  <si>
    <t>L2 Norm</t>
  </si>
  <si>
    <t>RMSE post Registration</t>
  </si>
  <si>
    <t>ICP correspondce dis</t>
  </si>
  <si>
    <t>Skip (pose)</t>
  </si>
  <si>
    <t>1 (consider all, for loop)</t>
  </si>
  <si>
    <t>depth</t>
  </si>
  <si>
    <t>Mean(mm)</t>
  </si>
  <si>
    <t>Depth_offset(mm)</t>
  </si>
  <si>
    <t>Depth offset vs mean RMSE post ICP registration</t>
  </si>
  <si>
    <t>Cap</t>
  </si>
  <si>
    <t>Mean</t>
  </si>
  <si>
    <t>CA_124_8 (63 electrodes)</t>
  </si>
  <si>
    <t>CA_124_7 (63 electrodes)</t>
  </si>
  <si>
    <t>CS_301_7 (23 electrodes)</t>
  </si>
  <si>
    <t>CS_301_8 (23 electrodes)</t>
  </si>
  <si>
    <t>cluster center comparision</t>
  </si>
  <si>
    <t>14 (depth offset)</t>
  </si>
  <si>
    <t>25 (depth offset)</t>
  </si>
  <si>
    <t>CS_301_7 (23 electrods)</t>
  </si>
  <si>
    <r>
      <t xml:space="preserve">0.6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0.3 °</t>
    </r>
  </si>
  <si>
    <t>11 ± 5 (mm)</t>
  </si>
  <si>
    <r>
      <t xml:space="preserve">0.25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1.6</t>
    </r>
    <r>
      <rPr>
        <sz val="11"/>
        <color theme="1"/>
        <rFont val="Calibri"/>
        <family val="2"/>
        <scheme val="minor"/>
      </rPr>
      <t xml:space="preserve"> (mm)</t>
    </r>
  </si>
  <si>
    <t>0.8 ± 2.4 (mm)</t>
  </si>
  <si>
    <t>11.5 ± 4.5 (mm)</t>
  </si>
  <si>
    <t>5.5 ± 0.5 (mm)</t>
  </si>
  <si>
    <t>3.5 ± 0.5 (mm)</t>
  </si>
  <si>
    <r>
      <t xml:space="preserve">0.4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0.2 °</t>
    </r>
  </si>
  <si>
    <t>Abstract</t>
  </si>
  <si>
    <t>Introduction</t>
  </si>
  <si>
    <t>Background</t>
  </si>
  <si>
    <t>Methods and Material</t>
  </si>
  <si>
    <t>Results And Discussions</t>
  </si>
  <si>
    <t>Conclusion and future scope</t>
  </si>
  <si>
    <t>YOLO</t>
  </si>
  <si>
    <t>Ground truth data set generation</t>
  </si>
  <si>
    <t>ICP</t>
  </si>
  <si>
    <t>depth analysis</t>
  </si>
  <si>
    <t>YOLO + depth point cloud generation</t>
  </si>
  <si>
    <t>Kmeans clustering</t>
  </si>
  <si>
    <t>ICP vs ground truth</t>
  </si>
  <si>
    <t>3D position</t>
  </si>
  <si>
    <t>post registration</t>
  </si>
  <si>
    <t>SLAM (pose graph) + loop closure</t>
  </si>
  <si>
    <t>software architecture</t>
  </si>
  <si>
    <t>Literature</t>
  </si>
  <si>
    <t>camera fundamentals (required for depth analysis)</t>
  </si>
  <si>
    <t>trajectory comparission</t>
  </si>
  <si>
    <t>CA_124_6 (63 electrodes)</t>
  </si>
  <si>
    <t>CA_124_4 (63 electrodes)</t>
  </si>
  <si>
    <t>CA_124_2 (63 electrodes)</t>
  </si>
  <si>
    <t>CA_124_1 (63 electrodes)</t>
  </si>
  <si>
    <t>CS_301_6 (23 electrodes)</t>
  </si>
  <si>
    <t>CS_301_5 (23 electrodes)</t>
  </si>
  <si>
    <t>CS_301_4 (23 electrodes)</t>
  </si>
  <si>
    <t>CS_301_RED_8 (23 electrodes)</t>
  </si>
  <si>
    <t>CS_301_RED_7 (23 electrodes)</t>
  </si>
  <si>
    <t>CS_301_RED_6 (23 electrodes)</t>
  </si>
  <si>
    <t>CS_301_RED_3 (23 electrodes)</t>
  </si>
  <si>
    <t>CS_301_RED_2 (23 electrodes)</t>
  </si>
  <si>
    <t>CS_201_1 (23 electrodes)</t>
  </si>
  <si>
    <t>Distance from the camera (mm)</t>
  </si>
  <si>
    <t>Mean L2 Norm (mm)</t>
  </si>
  <si>
    <t>12.5 ± 5 (mm)</t>
  </si>
  <si>
    <r>
      <t xml:space="preserve">0.8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0.4 °</t>
    </r>
  </si>
  <si>
    <t>6.3 ± 1.9 (mm)</t>
  </si>
  <si>
    <t>Estimated vs ground truth trajectory</t>
  </si>
  <si>
    <r>
      <t xml:space="preserve">6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13.7</t>
    </r>
    <r>
      <rPr>
        <sz val="11"/>
        <color theme="1"/>
        <rFont val="Calibri"/>
        <family val="2"/>
        <scheme val="minor"/>
      </rPr>
      <t xml:space="preserve"> (mm)</t>
    </r>
  </si>
  <si>
    <r>
      <t xml:space="preserve">3.8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1.2 °</t>
    </r>
  </si>
  <si>
    <t>9.3 ± 11.4 (mm)</t>
  </si>
  <si>
    <r>
      <t xml:space="preserve">4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1.52 °</t>
    </r>
  </si>
  <si>
    <t>11.8 ± 14.8 (mm)</t>
  </si>
  <si>
    <r>
      <t xml:space="preserve">6.4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3.4 °</t>
    </r>
  </si>
  <si>
    <t>1.2 ± 2.85 (mm)</t>
  </si>
  <si>
    <t>CA_124_6</t>
  </si>
  <si>
    <t>CAP</t>
  </si>
  <si>
    <t>CS_301_6</t>
  </si>
  <si>
    <t>CS_301_RED_6</t>
  </si>
  <si>
    <t>13.1 ± 2.6 (mm)</t>
  </si>
  <si>
    <t>16.8 ± 7 (mm)</t>
  </si>
  <si>
    <t>17.8 ± 14.7 (mm)</t>
  </si>
  <si>
    <t>14.7 ± 2.4 (mm)</t>
  </si>
  <si>
    <t>17.3 ± 11.5 (mm)</t>
  </si>
  <si>
    <t>13.3 ± 1.2 (mm)</t>
  </si>
  <si>
    <r>
      <t xml:space="preserve">8.6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 xml:space="preserve"> 5</t>
    </r>
    <r>
      <rPr>
        <sz val="11"/>
        <color theme="1"/>
        <rFont val="Calibri"/>
        <family val="2"/>
      </rPr>
      <t>.6</t>
    </r>
    <r>
      <rPr>
        <sz val="11"/>
        <color theme="1"/>
        <rFont val="Calibri"/>
        <family val="2"/>
        <scheme val="minor"/>
      </rPr>
      <t xml:space="preserve"> (mm)</t>
    </r>
  </si>
  <si>
    <r>
      <t xml:space="preserve">1.2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0.6 °</t>
    </r>
  </si>
  <si>
    <t>11.2 ± 6.7 (mm)</t>
  </si>
  <si>
    <r>
      <t xml:space="preserve">1.5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0.8 °</t>
    </r>
  </si>
  <si>
    <t>10.2 ± 6.1 (mm)</t>
  </si>
  <si>
    <r>
      <t xml:space="preserve">1.4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0.6 °</t>
    </r>
  </si>
  <si>
    <r>
      <t xml:space="preserve">36.3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 xml:space="preserve"> 81</t>
    </r>
    <r>
      <rPr>
        <sz val="11"/>
        <color theme="1"/>
        <rFont val="Calibri"/>
        <family val="2"/>
      </rPr>
      <t>.1</t>
    </r>
    <r>
      <rPr>
        <sz val="11"/>
        <color theme="1"/>
        <rFont val="Calibri"/>
        <family val="2"/>
        <scheme val="minor"/>
      </rPr>
      <t xml:space="preserve"> (mm)</t>
    </r>
  </si>
  <si>
    <r>
      <t xml:space="preserve">18.5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12.6°</t>
    </r>
  </si>
  <si>
    <t>24 ± 111.2 (mm)</t>
  </si>
  <si>
    <r>
      <t xml:space="preserve">24.7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14.5 °</t>
    </r>
  </si>
  <si>
    <t>25.6 ± 94.3 (mm)</t>
  </si>
  <si>
    <r>
      <t xml:space="preserve">23.1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±13.8 °</t>
    </r>
  </si>
  <si>
    <t>CS_301_RED_13 (23 electrodes)</t>
  </si>
  <si>
    <t>CS_301_RED_14 (23 electrodes)</t>
  </si>
  <si>
    <t>CS_301_RED_13</t>
  </si>
  <si>
    <t>CS_301_RED_14</t>
  </si>
  <si>
    <t xml:space="preserve"> </t>
  </si>
  <si>
    <r>
      <t xml:space="preserve">-36.3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 xml:space="preserve"> 81</t>
    </r>
    <r>
      <rPr>
        <sz val="11"/>
        <color theme="1"/>
        <rFont val="Calibri"/>
        <family val="2"/>
      </rPr>
      <t>.1</t>
    </r>
    <r>
      <rPr>
        <sz val="11"/>
        <color theme="1"/>
        <rFont val="Calibri"/>
        <family val="2"/>
        <scheme val="minor"/>
      </rPr>
      <t xml:space="preserve"> (mm)</t>
    </r>
  </si>
  <si>
    <t>-24 ± 111.2 (mm)</t>
  </si>
  <si>
    <t>12.5 ± 95.7 (mm)</t>
  </si>
  <si>
    <r>
      <t xml:space="preserve">18.9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±11.6 °</t>
    </r>
  </si>
  <si>
    <t>1.5 ° ± 0.8 °</t>
  </si>
  <si>
    <t>10.1 ± 7.3 (mm)</t>
  </si>
  <si>
    <t>22.7 ± 15.3 (mm)</t>
  </si>
  <si>
    <t>16.3 ± 0.2 (mm)</t>
  </si>
  <si>
    <t>Transalation</t>
  </si>
  <si>
    <t>Rotation</t>
  </si>
  <si>
    <t>Number of clusters</t>
  </si>
  <si>
    <t>inertia</t>
  </si>
  <si>
    <t>CS_301_7 (23 elctrodes)</t>
  </si>
  <si>
    <t>DBSCAN config</t>
  </si>
  <si>
    <t>DBSCAN config for all 0.010 &amp;  20</t>
  </si>
  <si>
    <t>no of electrodes</t>
  </si>
  <si>
    <t>Traj</t>
  </si>
  <si>
    <t>electrodes</t>
  </si>
  <si>
    <t>loop closure</t>
  </si>
  <si>
    <t>0.1 &amp; 0.80</t>
  </si>
  <si>
    <r>
      <t xml:space="preserve">0.5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0.3 °</t>
    </r>
  </si>
  <si>
    <r>
      <t xml:space="preserve">0.5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 xml:space="preserve"> 2.1</t>
    </r>
    <r>
      <rPr>
        <sz val="11"/>
        <color theme="1"/>
        <rFont val="Calibri"/>
        <family val="2"/>
        <scheme val="minor"/>
      </rPr>
      <t xml:space="preserve"> (mm)</t>
    </r>
  </si>
  <si>
    <t>0.8 ± 2.9 (mm)</t>
  </si>
  <si>
    <r>
      <t xml:space="preserve">0.7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0.4 °</t>
    </r>
  </si>
  <si>
    <t>0.9 ± 3.3 (mm)</t>
  </si>
  <si>
    <r>
      <t xml:space="preserve">0.9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0.6 °</t>
    </r>
  </si>
  <si>
    <r>
      <t xml:space="preserve">-1.4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 xml:space="preserve"> 9</t>
    </r>
    <r>
      <rPr>
        <sz val="11"/>
        <color theme="1"/>
        <rFont val="Calibri"/>
        <family val="2"/>
      </rPr>
      <t>.3</t>
    </r>
    <r>
      <rPr>
        <sz val="11"/>
        <color theme="1"/>
        <rFont val="Calibri"/>
        <family val="2"/>
        <scheme val="minor"/>
      </rPr>
      <t xml:space="preserve"> (mm)</t>
    </r>
  </si>
  <si>
    <r>
      <t xml:space="preserve">4.1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1.7 °</t>
    </r>
  </si>
  <si>
    <t>16.3 ± 10.1 (mm)</t>
  </si>
  <si>
    <r>
      <t xml:space="preserve">4.6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1.7 °</t>
    </r>
  </si>
  <si>
    <t>12.1 ± 14.5 (mm)</t>
  </si>
  <si>
    <r>
      <t xml:space="preserve">6.7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± 3.4 °</t>
    </r>
  </si>
  <si>
    <t>11.5 ± 5 (mm)</t>
  </si>
  <si>
    <t>3.7 ± 0.3 (mm)</t>
  </si>
  <si>
    <t>11.7 ± 4.0 (mm)</t>
  </si>
  <si>
    <t>6.8 ± 2.0 (mm)</t>
  </si>
  <si>
    <t>12.6 ± 5.5 (mm)</t>
  </si>
  <si>
    <t>5.6 ± 1.2 (mm)</t>
  </si>
  <si>
    <t>Hand Trajectory</t>
  </si>
  <si>
    <t>CA_124_7 (23 elctrodes)</t>
  </si>
  <si>
    <t>CA_124_8 (23 elctrodes)</t>
  </si>
  <si>
    <t>CS_301_8 (23 elctrodes)</t>
  </si>
  <si>
    <t>CS_301_RED_13 (23 elctrodes)</t>
  </si>
  <si>
    <t>CS_301_RED_14 (23 elctrodes)</t>
  </si>
  <si>
    <t>loop</t>
  </si>
  <si>
    <t>corres &amp; icp fitness</t>
  </si>
  <si>
    <t>no</t>
  </si>
  <si>
    <t>Yes</t>
  </si>
  <si>
    <t>DBSCAN = 0.01 &amp; 5</t>
  </si>
  <si>
    <t>Depth</t>
  </si>
  <si>
    <t>Matlab</t>
  </si>
  <si>
    <t>opencv</t>
  </si>
  <si>
    <t>Parameter</t>
  </si>
  <si>
    <t>Difference</t>
  </si>
  <si>
    <t>Fx</t>
  </si>
  <si>
    <t>Fy</t>
  </si>
  <si>
    <t>Alpha_x</t>
  </si>
  <si>
    <t>Alpha_y</t>
  </si>
  <si>
    <t>OpenCV</t>
  </si>
  <si>
    <t>matlab</t>
  </si>
  <si>
    <t>Parameters in dataset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</si>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</sst>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.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0" fillId="0" borderId="0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3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7" fontId="0" fillId="0" borderId="0" xfId="0" applyNumberFormat="1"/>
    <xf numFmtId="0" fontId="0" fillId="0" borderId="0" xfId="0" applyAlignment="1">
      <alignment horizontal="center"/>
    </xf>
    <xf numFmtId="49" fontId="0" fillId="0" borderId="1" xfId="0" applyNumberFormat="1" applyBorder="1"/>
    <xf numFmtId="49" fontId="0" fillId="0" borderId="6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Fill="1" applyBorder="1"/>
    <xf numFmtId="0" fontId="0" fillId="0" borderId="13" xfId="0" applyBorder="1" applyAlignment="1"/>
    <xf numFmtId="0" fontId="0" fillId="0" borderId="0" xfId="0" applyAlignment="1"/>
    <xf numFmtId="0" fontId="0" fillId="0" borderId="14" xfId="0" applyBorder="1" applyAlignment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CA_124_7 (63 electrodes)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2306621075195"/>
          <c:y val="0.15242467397526416"/>
          <c:w val="0.66561910813847625"/>
          <c:h val="0.697972801634303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14 (depth offset)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summary!$D$11:$D$17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</c:numCache>
            </c:numRef>
          </c:xVal>
          <c:yVal>
            <c:numRef>
              <c:f>summary!$R$11:$R$17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85-457F-B7AE-92C0ABC1A76C}"/>
            </c:ext>
          </c:extLst>
        </c:ser>
        <c:ser>
          <c:idx val="1"/>
          <c:order val="1"/>
          <c:tx>
            <c:strRef>
              <c:f>summary!$B$18</c:f>
              <c:strCache>
                <c:ptCount val="1"/>
                <c:pt idx="0">
                  <c:v>25 (depth offset)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summary!$D$18:$D$24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</c:numCache>
            </c:numRef>
          </c:xVal>
          <c:yVal>
            <c:numRef>
              <c:f>summary!$R$18:$R$24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85-457F-B7AE-92C0ABC1A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072880"/>
        <c:axId val="1481312176"/>
      </c:scatterChart>
      <c:valAx>
        <c:axId val="141907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Scan</a:t>
                </a:r>
                <a:r>
                  <a:rPr lang="en-US" baseline="0"/>
                  <a:t> skip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12176"/>
        <c:crosses val="autoZero"/>
        <c:crossBetween val="midCat"/>
      </c:valAx>
      <c:valAx>
        <c:axId val="148131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cluster</a:t>
                </a:r>
                <a:r>
                  <a:rPr lang="en-US" baseline="0"/>
                  <a:t> center L2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7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CS_301_7 (23 electrods)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942843714228333E-2"/>
          <c:y val="0.15497211085646681"/>
          <c:w val="0.69644699037575952"/>
          <c:h val="0.6678553357192254"/>
        </c:manualLayout>
      </c:layout>
      <c:scatterChart>
        <c:scatterStyle val="lineMarker"/>
        <c:varyColors val="0"/>
        <c:ser>
          <c:idx val="0"/>
          <c:order val="0"/>
          <c:tx>
            <c:strRef>
              <c:f>summary!$B$53</c:f>
              <c:strCache>
                <c:ptCount val="1"/>
                <c:pt idx="0">
                  <c:v>14 (depth offset)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summary!$D$53:$D$59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</c:numCache>
            </c:numRef>
          </c:xVal>
          <c:yVal>
            <c:numRef>
              <c:f>summary!$Q$53:$Q$59</c:f>
              <c:numCache>
                <c:formatCode>General</c:formatCode>
                <c:ptCount val="7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E-49A6-8ABA-09E11583EB10}"/>
            </c:ext>
          </c:extLst>
        </c:ser>
        <c:ser>
          <c:idx val="1"/>
          <c:order val="1"/>
          <c:tx>
            <c:strRef>
              <c:f>summary!$B$60</c:f>
              <c:strCache>
                <c:ptCount val="1"/>
                <c:pt idx="0">
                  <c:v>25 (depth offset)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summary!$D$60:$D$66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</c:numCache>
            </c:numRef>
          </c:xVal>
          <c:yVal>
            <c:numRef>
              <c:f>summary!$Q$60:$Q$66</c:f>
              <c:numCache>
                <c:formatCode>General</c:formatCode>
                <c:ptCount val="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E-49A6-8ABA-09E11583E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856688"/>
        <c:axId val="1600560160"/>
      </c:scatterChart>
      <c:valAx>
        <c:axId val="142885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scan</a:t>
                </a:r>
                <a:r>
                  <a:rPr lang="en-US" baseline="0"/>
                  <a:t> skip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60160"/>
        <c:crosses val="autoZero"/>
        <c:crossBetween val="midCat"/>
      </c:valAx>
      <c:valAx>
        <c:axId val="16005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cluster</a:t>
                </a:r>
                <a:r>
                  <a:rPr lang="en-US" baseline="0"/>
                  <a:t> center L2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85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Depth offset vs mean RMSE post ICP registration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38396762904636E-2"/>
          <c:y val="0.14665875840253065"/>
          <c:w val="0.62009924540682415"/>
          <c:h val="0.6777647011205449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CA_124!$A$3</c:f>
              <c:strCache>
                <c:ptCount val="1"/>
                <c:pt idx="0">
                  <c:v>CA_124_8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CA_124!$G$3:$G$22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CA_124!$H$3:$H$22</c:f>
              <c:numCache>
                <c:formatCode>General</c:formatCode>
                <c:ptCount val="20"/>
                <c:pt idx="0">
                  <c:v>5.8900000000000006</c:v>
                </c:pt>
                <c:pt idx="1">
                  <c:v>5.8</c:v>
                </c:pt>
                <c:pt idx="2">
                  <c:v>5.67</c:v>
                </c:pt>
                <c:pt idx="3">
                  <c:v>5.58</c:v>
                </c:pt>
                <c:pt idx="4">
                  <c:v>5.49</c:v>
                </c:pt>
                <c:pt idx="5">
                  <c:v>5.41</c:v>
                </c:pt>
                <c:pt idx="6">
                  <c:v>5.34</c:v>
                </c:pt>
                <c:pt idx="7">
                  <c:v>5.23</c:v>
                </c:pt>
                <c:pt idx="8">
                  <c:v>5.17</c:v>
                </c:pt>
                <c:pt idx="9">
                  <c:v>5.12</c:v>
                </c:pt>
                <c:pt idx="10">
                  <c:v>5.07</c:v>
                </c:pt>
                <c:pt idx="11">
                  <c:v>5.04</c:v>
                </c:pt>
                <c:pt idx="12">
                  <c:v>5.01</c:v>
                </c:pt>
                <c:pt idx="13">
                  <c:v>4.9899999999999993</c:v>
                </c:pt>
                <c:pt idx="14">
                  <c:v>4.9800000000000004</c:v>
                </c:pt>
                <c:pt idx="15">
                  <c:v>4.9800000000000004</c:v>
                </c:pt>
                <c:pt idx="16">
                  <c:v>4.9899999999999993</c:v>
                </c:pt>
                <c:pt idx="17">
                  <c:v>5.01</c:v>
                </c:pt>
                <c:pt idx="18">
                  <c:v>5.04</c:v>
                </c:pt>
                <c:pt idx="19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0-4F87-86A6-D34D295C5C01}"/>
            </c:ext>
          </c:extLst>
        </c:ser>
        <c:ser>
          <c:idx val="1"/>
          <c:order val="1"/>
          <c:tx>
            <c:strRef>
              <c:f>CA_124!$A$25</c:f>
              <c:strCache>
                <c:ptCount val="1"/>
                <c:pt idx="0">
                  <c:v>CA_124_7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CA_124!$G$25:$G$44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CA_124!$H$25:$H$44</c:f>
              <c:numCache>
                <c:formatCode>General</c:formatCode>
                <c:ptCount val="20"/>
                <c:pt idx="0">
                  <c:v>6.05</c:v>
                </c:pt>
                <c:pt idx="1">
                  <c:v>5.94</c:v>
                </c:pt>
                <c:pt idx="2">
                  <c:v>5.84</c:v>
                </c:pt>
                <c:pt idx="3">
                  <c:v>5.75</c:v>
                </c:pt>
                <c:pt idx="4">
                  <c:v>5.66</c:v>
                </c:pt>
                <c:pt idx="5">
                  <c:v>5.57</c:v>
                </c:pt>
                <c:pt idx="6">
                  <c:v>5.46</c:v>
                </c:pt>
                <c:pt idx="7">
                  <c:v>5.38</c:v>
                </c:pt>
                <c:pt idx="8">
                  <c:v>5.3</c:v>
                </c:pt>
                <c:pt idx="9">
                  <c:v>5.23</c:v>
                </c:pt>
                <c:pt idx="10">
                  <c:v>5.15</c:v>
                </c:pt>
                <c:pt idx="11">
                  <c:v>5.1000000000000005</c:v>
                </c:pt>
                <c:pt idx="12">
                  <c:v>5.07</c:v>
                </c:pt>
                <c:pt idx="13">
                  <c:v>5.0600000000000005</c:v>
                </c:pt>
                <c:pt idx="14">
                  <c:v>5.05</c:v>
                </c:pt>
                <c:pt idx="15">
                  <c:v>5.05</c:v>
                </c:pt>
                <c:pt idx="16">
                  <c:v>5.05</c:v>
                </c:pt>
                <c:pt idx="17">
                  <c:v>5.0600000000000005</c:v>
                </c:pt>
                <c:pt idx="18">
                  <c:v>5.09</c:v>
                </c:pt>
                <c:pt idx="19">
                  <c:v>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00-4F87-86A6-D34D295C5C01}"/>
            </c:ext>
          </c:extLst>
        </c:ser>
        <c:ser>
          <c:idx val="2"/>
          <c:order val="2"/>
          <c:tx>
            <c:strRef>
              <c:f>CS_301!$A$3</c:f>
              <c:strCache>
                <c:ptCount val="1"/>
                <c:pt idx="0">
                  <c:v>CS_301_8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CS_301!$G$3:$G$22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CS_301!$H$3:$H$22</c:f>
              <c:numCache>
                <c:formatCode>General</c:formatCode>
                <c:ptCount val="20"/>
                <c:pt idx="0">
                  <c:v>5.7600000000000007</c:v>
                </c:pt>
                <c:pt idx="1">
                  <c:v>5.6499999999999995</c:v>
                </c:pt>
                <c:pt idx="2">
                  <c:v>5.53</c:v>
                </c:pt>
                <c:pt idx="3">
                  <c:v>5.43</c:v>
                </c:pt>
                <c:pt idx="4">
                  <c:v>5.34</c:v>
                </c:pt>
                <c:pt idx="5">
                  <c:v>5.23</c:v>
                </c:pt>
                <c:pt idx="6">
                  <c:v>5.14</c:v>
                </c:pt>
                <c:pt idx="7">
                  <c:v>5.07</c:v>
                </c:pt>
                <c:pt idx="8">
                  <c:v>4.8</c:v>
                </c:pt>
                <c:pt idx="9">
                  <c:v>4.75</c:v>
                </c:pt>
                <c:pt idx="10">
                  <c:v>4.7</c:v>
                </c:pt>
                <c:pt idx="11">
                  <c:v>4.67</c:v>
                </c:pt>
                <c:pt idx="12">
                  <c:v>4.6499999999999995</c:v>
                </c:pt>
                <c:pt idx="13">
                  <c:v>4.6399999999999997</c:v>
                </c:pt>
                <c:pt idx="14">
                  <c:v>4.6399999999999997</c:v>
                </c:pt>
                <c:pt idx="15">
                  <c:v>4.63</c:v>
                </c:pt>
                <c:pt idx="16">
                  <c:v>4.62</c:v>
                </c:pt>
                <c:pt idx="17">
                  <c:v>4.6499999999999995</c:v>
                </c:pt>
                <c:pt idx="18">
                  <c:v>4.68</c:v>
                </c:pt>
                <c:pt idx="19">
                  <c:v>4.6899999999999995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00-4F87-86A6-D34D295C5C01}"/>
            </c:ext>
          </c:extLst>
        </c:ser>
        <c:ser>
          <c:idx val="3"/>
          <c:order val="3"/>
          <c:tx>
            <c:strRef>
              <c:f>CS_301!$A$25</c:f>
              <c:strCache>
                <c:ptCount val="1"/>
                <c:pt idx="0">
                  <c:v>CS_301_7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CS_301!$G$25:$G$44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CS_301!$H$25:$H$44</c:f>
              <c:numCache>
                <c:formatCode>General</c:formatCode>
                <c:ptCount val="20"/>
                <c:pt idx="0">
                  <c:v>5.8599999999999994</c:v>
                </c:pt>
                <c:pt idx="1">
                  <c:v>5.7200000000000006</c:v>
                </c:pt>
                <c:pt idx="2" formatCode="0.000">
                  <c:v>5.5900000000000007</c:v>
                </c:pt>
                <c:pt idx="3" formatCode="0.000">
                  <c:v>5.42</c:v>
                </c:pt>
                <c:pt idx="4" formatCode="0.000">
                  <c:v>5.31</c:v>
                </c:pt>
                <c:pt idx="5" formatCode="0.000">
                  <c:v>5.21</c:v>
                </c:pt>
                <c:pt idx="6" formatCode="0.000">
                  <c:v>5.1100000000000003</c:v>
                </c:pt>
                <c:pt idx="7" formatCode="0.000">
                  <c:v>5</c:v>
                </c:pt>
                <c:pt idx="8" formatCode="0.000">
                  <c:v>4.92</c:v>
                </c:pt>
                <c:pt idx="9" formatCode="0.000">
                  <c:v>4.84</c:v>
                </c:pt>
                <c:pt idx="10" formatCode="0.000">
                  <c:v>4.7699999999999996</c:v>
                </c:pt>
                <c:pt idx="11" formatCode="0.000">
                  <c:v>4.68</c:v>
                </c:pt>
                <c:pt idx="12" formatCode="0.000">
                  <c:v>4.5599999999999996</c:v>
                </c:pt>
                <c:pt idx="13" formatCode="0.000">
                  <c:v>4.53</c:v>
                </c:pt>
                <c:pt idx="14" formatCode="0.000">
                  <c:v>4.5</c:v>
                </c:pt>
                <c:pt idx="15" formatCode="0.000">
                  <c:v>4.49</c:v>
                </c:pt>
                <c:pt idx="16" formatCode="0.000">
                  <c:v>4.49</c:v>
                </c:pt>
                <c:pt idx="17" formatCode="0.000">
                  <c:v>4.5</c:v>
                </c:pt>
                <c:pt idx="18" formatCode="0.000">
                  <c:v>4.53</c:v>
                </c:pt>
                <c:pt idx="19" formatCode="0.000">
                  <c:v>4.5599999999999996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00-4F87-86A6-D34D295C5C01}"/>
            </c:ext>
          </c:extLst>
        </c:ser>
        <c:ser>
          <c:idx val="4"/>
          <c:order val="4"/>
          <c:tx>
            <c:strRef>
              <c:f>CS_301_RED!$A$3</c:f>
              <c:strCache>
                <c:ptCount val="1"/>
                <c:pt idx="0">
                  <c:v>CS_301_RED_8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CS_301_RED!$G$3:$G$22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CS_301_RED!$H$3:$H$22</c:f>
              <c:numCache>
                <c:formatCode>General</c:formatCode>
                <c:ptCount val="20"/>
                <c:pt idx="0">
                  <c:v>5.75</c:v>
                </c:pt>
                <c:pt idx="1">
                  <c:v>5.6499999999999995</c:v>
                </c:pt>
                <c:pt idx="2">
                  <c:v>5.53</c:v>
                </c:pt>
                <c:pt idx="3">
                  <c:v>5.44</c:v>
                </c:pt>
                <c:pt idx="4">
                  <c:v>5.35</c:v>
                </c:pt>
                <c:pt idx="5">
                  <c:v>5.28</c:v>
                </c:pt>
                <c:pt idx="6">
                  <c:v>5.2</c:v>
                </c:pt>
                <c:pt idx="7">
                  <c:v>5.15</c:v>
                </c:pt>
                <c:pt idx="8">
                  <c:v>5.1100000000000003</c:v>
                </c:pt>
                <c:pt idx="9">
                  <c:v>5.09</c:v>
                </c:pt>
                <c:pt idx="10">
                  <c:v>5.07</c:v>
                </c:pt>
                <c:pt idx="11">
                  <c:v>5.05</c:v>
                </c:pt>
                <c:pt idx="12">
                  <c:v>5.04</c:v>
                </c:pt>
                <c:pt idx="13">
                  <c:v>5.0299999999999994</c:v>
                </c:pt>
                <c:pt idx="14">
                  <c:v>5.09</c:v>
                </c:pt>
                <c:pt idx="15">
                  <c:v>5.1000000000000005</c:v>
                </c:pt>
                <c:pt idx="16">
                  <c:v>5.12</c:v>
                </c:pt>
                <c:pt idx="17" formatCode="0.00">
                  <c:v>5.18</c:v>
                </c:pt>
                <c:pt idx="18" formatCode="0.00">
                  <c:v>5.2</c:v>
                </c:pt>
                <c:pt idx="19" formatCode="0.00">
                  <c:v>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00-4F87-86A6-D34D295C5C01}"/>
            </c:ext>
          </c:extLst>
        </c:ser>
        <c:ser>
          <c:idx val="5"/>
          <c:order val="5"/>
          <c:tx>
            <c:strRef>
              <c:f>CS_301_RED!$A$25</c:f>
              <c:strCache>
                <c:ptCount val="1"/>
                <c:pt idx="0">
                  <c:v>CS_301_RED_7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CS_301_RED!$G$25:$G$44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CS_301_RED!$H$25:$H$44</c:f>
              <c:numCache>
                <c:formatCode>General</c:formatCode>
                <c:ptCount val="20"/>
                <c:pt idx="0">
                  <c:v>5.8500000000000005</c:v>
                </c:pt>
                <c:pt idx="1">
                  <c:v>5.74</c:v>
                </c:pt>
                <c:pt idx="2" formatCode="0.000">
                  <c:v>5.62</c:v>
                </c:pt>
                <c:pt idx="3" formatCode="0.000">
                  <c:v>5.52</c:v>
                </c:pt>
                <c:pt idx="4" formatCode="0.000">
                  <c:v>5.43</c:v>
                </c:pt>
                <c:pt idx="5" formatCode="0.000">
                  <c:v>5.32</c:v>
                </c:pt>
                <c:pt idx="6" formatCode="0.000">
                  <c:v>5.23</c:v>
                </c:pt>
                <c:pt idx="7" formatCode="0.000">
                  <c:v>5.1599999999999993</c:v>
                </c:pt>
                <c:pt idx="8" formatCode="0.000">
                  <c:v>4.8999999999999995</c:v>
                </c:pt>
                <c:pt idx="9" formatCode="0.000">
                  <c:v>4.84</c:v>
                </c:pt>
                <c:pt idx="10" formatCode="0.000">
                  <c:v>4.8</c:v>
                </c:pt>
                <c:pt idx="11" formatCode="0.000">
                  <c:v>4.7600000000000007</c:v>
                </c:pt>
                <c:pt idx="12" formatCode="0.000">
                  <c:v>4.74</c:v>
                </c:pt>
                <c:pt idx="13" formatCode="0.000">
                  <c:v>4.7299999999999995</c:v>
                </c:pt>
                <c:pt idx="14" formatCode="0.000">
                  <c:v>4.7299999999999995</c:v>
                </c:pt>
                <c:pt idx="15" formatCode="0.000">
                  <c:v>4.7200000000000006</c:v>
                </c:pt>
                <c:pt idx="16" formatCode="0.000">
                  <c:v>4.71</c:v>
                </c:pt>
                <c:pt idx="17" formatCode="0.000">
                  <c:v>4.74</c:v>
                </c:pt>
                <c:pt idx="18" formatCode="0.000">
                  <c:v>4.7699999999999996</c:v>
                </c:pt>
                <c:pt idx="19" formatCode="0.000">
                  <c:v>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B-420E-B30C-D050B0B92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375231"/>
        <c:axId val="1249420239"/>
      </c:scatterChart>
      <c:valAx>
        <c:axId val="132037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 </a:t>
                </a:r>
                <a:r>
                  <a:rPr lang="el-GR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β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 </a:t>
                </a:r>
                <a:r>
                  <a:rPr lang="en-US" baseline="0"/>
                  <a:t>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20239"/>
        <c:crosses val="autoZero"/>
        <c:crossBetween val="midCat"/>
      </c:valAx>
      <c:valAx>
        <c:axId val="12494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RMSE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37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baseline="0">
                <a:effectLst/>
              </a:rPr>
              <a:t>Depth offset vs mean RMSE post ICP registration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CA_124!$A$69</c:f>
              <c:strCache>
                <c:ptCount val="1"/>
                <c:pt idx="0">
                  <c:v>CA_124_4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CA_124!$G$69:$G$88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CA_124!$H$69:$H$88</c:f>
              <c:numCache>
                <c:formatCode>General</c:formatCode>
                <c:ptCount val="20"/>
                <c:pt idx="0">
                  <c:v>7.09</c:v>
                </c:pt>
                <c:pt idx="1">
                  <c:v>6.98</c:v>
                </c:pt>
                <c:pt idx="2">
                  <c:v>6.8900000000000006</c:v>
                </c:pt>
                <c:pt idx="3">
                  <c:v>6.79</c:v>
                </c:pt>
                <c:pt idx="4">
                  <c:v>6.71</c:v>
                </c:pt>
                <c:pt idx="5">
                  <c:v>6.6499999999999995</c:v>
                </c:pt>
                <c:pt idx="6">
                  <c:v>6.56</c:v>
                </c:pt>
                <c:pt idx="7">
                  <c:v>6.5</c:v>
                </c:pt>
                <c:pt idx="8">
                  <c:v>6.44</c:v>
                </c:pt>
                <c:pt idx="9">
                  <c:v>6.39</c:v>
                </c:pt>
                <c:pt idx="10">
                  <c:v>6.34</c:v>
                </c:pt>
                <c:pt idx="11">
                  <c:v>6.31</c:v>
                </c:pt>
                <c:pt idx="12">
                  <c:v>6.2700000000000005</c:v>
                </c:pt>
                <c:pt idx="13">
                  <c:v>6.25</c:v>
                </c:pt>
                <c:pt idx="14">
                  <c:v>6.23</c:v>
                </c:pt>
                <c:pt idx="15">
                  <c:v>6.22</c:v>
                </c:pt>
                <c:pt idx="16">
                  <c:v>6.22</c:v>
                </c:pt>
                <c:pt idx="17">
                  <c:v>6.22</c:v>
                </c:pt>
                <c:pt idx="18">
                  <c:v>6.23</c:v>
                </c:pt>
                <c:pt idx="19">
                  <c:v>6.24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91-43B4-9E58-6D045A3D60C2}"/>
            </c:ext>
          </c:extLst>
        </c:ser>
        <c:ser>
          <c:idx val="2"/>
          <c:order val="1"/>
          <c:tx>
            <c:strRef>
              <c:f>CA_124!$A$91</c:f>
              <c:strCache>
                <c:ptCount val="1"/>
                <c:pt idx="0">
                  <c:v>CA_124_2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CA_124!$G$91:$G$110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CA_124!$H$91:$H$110</c:f>
              <c:numCache>
                <c:formatCode>General</c:formatCode>
                <c:ptCount val="20"/>
                <c:pt idx="0">
                  <c:v>7.25</c:v>
                </c:pt>
                <c:pt idx="1">
                  <c:v>7.15</c:v>
                </c:pt>
                <c:pt idx="2">
                  <c:v>7.07</c:v>
                </c:pt>
                <c:pt idx="3">
                  <c:v>6.97</c:v>
                </c:pt>
                <c:pt idx="4">
                  <c:v>6.8999999999999995</c:v>
                </c:pt>
                <c:pt idx="5">
                  <c:v>6.8100000000000005</c:v>
                </c:pt>
                <c:pt idx="6">
                  <c:v>6.7200000000000006</c:v>
                </c:pt>
                <c:pt idx="7">
                  <c:v>6.6499999999999995</c:v>
                </c:pt>
                <c:pt idx="8">
                  <c:v>6.57</c:v>
                </c:pt>
                <c:pt idx="9">
                  <c:v>6.52</c:v>
                </c:pt>
                <c:pt idx="10">
                  <c:v>6.4799999999999995</c:v>
                </c:pt>
                <c:pt idx="11">
                  <c:v>6.44</c:v>
                </c:pt>
                <c:pt idx="12">
                  <c:v>6.42</c:v>
                </c:pt>
                <c:pt idx="13">
                  <c:v>6.39</c:v>
                </c:pt>
                <c:pt idx="14">
                  <c:v>6.37</c:v>
                </c:pt>
                <c:pt idx="15">
                  <c:v>6.37</c:v>
                </c:pt>
                <c:pt idx="16">
                  <c:v>6.38</c:v>
                </c:pt>
                <c:pt idx="17">
                  <c:v>6.39</c:v>
                </c:pt>
                <c:pt idx="18">
                  <c:v>6.4</c:v>
                </c:pt>
                <c:pt idx="19">
                  <c:v>6.42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91-43B4-9E58-6D045A3D60C2}"/>
            </c:ext>
          </c:extLst>
        </c:ser>
        <c:ser>
          <c:idx val="3"/>
          <c:order val="2"/>
          <c:tx>
            <c:strRef>
              <c:f>CA_124!$A$113</c:f>
              <c:strCache>
                <c:ptCount val="1"/>
                <c:pt idx="0">
                  <c:v>CA_124_1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CA_124!$G$113:$G$132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CA_124!$H$113:$H$132</c:f>
              <c:numCache>
                <c:formatCode>General</c:formatCode>
                <c:ptCount val="20"/>
                <c:pt idx="0">
                  <c:v>7.23</c:v>
                </c:pt>
                <c:pt idx="1">
                  <c:v>7.15</c:v>
                </c:pt>
                <c:pt idx="2">
                  <c:v>7.07</c:v>
                </c:pt>
                <c:pt idx="3">
                  <c:v>6.97</c:v>
                </c:pt>
                <c:pt idx="4">
                  <c:v>6.8900000000000006</c:v>
                </c:pt>
                <c:pt idx="5">
                  <c:v>6.79</c:v>
                </c:pt>
                <c:pt idx="6">
                  <c:v>6.7200000000000006</c:v>
                </c:pt>
                <c:pt idx="7">
                  <c:v>6.64</c:v>
                </c:pt>
                <c:pt idx="8">
                  <c:v>6.58</c:v>
                </c:pt>
                <c:pt idx="9">
                  <c:v>6.53</c:v>
                </c:pt>
                <c:pt idx="10">
                  <c:v>6.45</c:v>
                </c:pt>
                <c:pt idx="11">
                  <c:v>6.4</c:v>
                </c:pt>
                <c:pt idx="12">
                  <c:v>6.35</c:v>
                </c:pt>
                <c:pt idx="13">
                  <c:v>6.3</c:v>
                </c:pt>
                <c:pt idx="14">
                  <c:v>6.25</c:v>
                </c:pt>
                <c:pt idx="15">
                  <c:v>6.22</c:v>
                </c:pt>
                <c:pt idx="16">
                  <c:v>6.22</c:v>
                </c:pt>
                <c:pt idx="17">
                  <c:v>6.23</c:v>
                </c:pt>
                <c:pt idx="18">
                  <c:v>6.22</c:v>
                </c:pt>
                <c:pt idx="19">
                  <c:v>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91-43B4-9E58-6D045A3D60C2}"/>
            </c:ext>
          </c:extLst>
        </c:ser>
        <c:ser>
          <c:idx val="0"/>
          <c:order val="3"/>
          <c:tx>
            <c:strRef>
              <c:f>CS_301!$A$47</c:f>
              <c:strCache>
                <c:ptCount val="1"/>
                <c:pt idx="0">
                  <c:v>CS_301_6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CS_301!$G$47:$G$66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CS_301!$H$47:$H$66</c:f>
              <c:numCache>
                <c:formatCode>General</c:formatCode>
                <c:ptCount val="20"/>
                <c:pt idx="0">
                  <c:v>6.7600000000000007</c:v>
                </c:pt>
                <c:pt idx="1">
                  <c:v>6.6499999999999995</c:v>
                </c:pt>
                <c:pt idx="2" formatCode="0.000">
                  <c:v>6.54</c:v>
                </c:pt>
                <c:pt idx="3" formatCode="0.000">
                  <c:v>6.39</c:v>
                </c:pt>
                <c:pt idx="4" formatCode="0.000">
                  <c:v>6.2899999999999991</c:v>
                </c:pt>
                <c:pt idx="5" formatCode="0.000">
                  <c:v>6.19</c:v>
                </c:pt>
                <c:pt idx="6" formatCode="0.000">
                  <c:v>6.09</c:v>
                </c:pt>
                <c:pt idx="7" formatCode="0.000">
                  <c:v>6</c:v>
                </c:pt>
                <c:pt idx="8" formatCode="0.000">
                  <c:v>5.8900000000000006</c:v>
                </c:pt>
                <c:pt idx="9" formatCode="0.000">
                  <c:v>5.8100000000000005</c:v>
                </c:pt>
                <c:pt idx="10" formatCode="0.000">
                  <c:v>5.74</c:v>
                </c:pt>
                <c:pt idx="11" formatCode="0.000">
                  <c:v>5.67</c:v>
                </c:pt>
                <c:pt idx="12" formatCode="0.000">
                  <c:v>5.54</c:v>
                </c:pt>
                <c:pt idx="13" formatCode="0.000">
                  <c:v>5.38</c:v>
                </c:pt>
                <c:pt idx="14" formatCode="0.000">
                  <c:v>5.31</c:v>
                </c:pt>
                <c:pt idx="15" formatCode="0.000">
                  <c:v>5.29</c:v>
                </c:pt>
                <c:pt idx="16" formatCode="0.000">
                  <c:v>5.28</c:v>
                </c:pt>
                <c:pt idx="17" formatCode="0.000">
                  <c:v>5.29</c:v>
                </c:pt>
                <c:pt idx="18" formatCode="0.000">
                  <c:v>5.31</c:v>
                </c:pt>
                <c:pt idx="19" formatCode="0.000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91-43B4-9E58-6D045A3D60C2}"/>
            </c:ext>
          </c:extLst>
        </c:ser>
        <c:ser>
          <c:idx val="4"/>
          <c:order val="4"/>
          <c:tx>
            <c:strRef>
              <c:f>CS_301!$A$69</c:f>
              <c:strCache>
                <c:ptCount val="1"/>
                <c:pt idx="0">
                  <c:v>CS_301_5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CS_301!$G$69:$G$88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CS_301!$H$69:$H$88</c:f>
              <c:numCache>
                <c:formatCode>General</c:formatCode>
                <c:ptCount val="20"/>
                <c:pt idx="0">
                  <c:v>6.7</c:v>
                </c:pt>
                <c:pt idx="1">
                  <c:v>6.6</c:v>
                </c:pt>
                <c:pt idx="2" formatCode="0.000">
                  <c:v>6.51</c:v>
                </c:pt>
                <c:pt idx="3" formatCode="0.000">
                  <c:v>6.42</c:v>
                </c:pt>
                <c:pt idx="4" formatCode="0.000">
                  <c:v>6.33</c:v>
                </c:pt>
                <c:pt idx="5" formatCode="0.000">
                  <c:v>6.25</c:v>
                </c:pt>
                <c:pt idx="6" formatCode="0.000">
                  <c:v>6.17</c:v>
                </c:pt>
                <c:pt idx="7" formatCode="0.000">
                  <c:v>6.1000000000000005</c:v>
                </c:pt>
                <c:pt idx="8" formatCode="0.000">
                  <c:v>6.04</c:v>
                </c:pt>
                <c:pt idx="9" formatCode="0.000">
                  <c:v>5.98</c:v>
                </c:pt>
                <c:pt idx="10" formatCode="0.000">
                  <c:v>5.9300000000000006</c:v>
                </c:pt>
                <c:pt idx="11" formatCode="0.000">
                  <c:v>5.8900000000000006</c:v>
                </c:pt>
                <c:pt idx="12" formatCode="0.000">
                  <c:v>5.8599999999999994</c:v>
                </c:pt>
                <c:pt idx="13" formatCode="0.000">
                  <c:v>5.84</c:v>
                </c:pt>
                <c:pt idx="14" formatCode="0.000">
                  <c:v>5.83</c:v>
                </c:pt>
                <c:pt idx="15" formatCode="0.000">
                  <c:v>5.79</c:v>
                </c:pt>
                <c:pt idx="16" formatCode="0.000">
                  <c:v>5.67</c:v>
                </c:pt>
                <c:pt idx="17" formatCode="0.000">
                  <c:v>5.7</c:v>
                </c:pt>
                <c:pt idx="18" formatCode="0.000">
                  <c:v>5.7600000000000007</c:v>
                </c:pt>
                <c:pt idx="19" formatCode="0.000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A91-43B4-9E58-6D045A3D60C2}"/>
            </c:ext>
          </c:extLst>
        </c:ser>
        <c:ser>
          <c:idx val="5"/>
          <c:order val="5"/>
          <c:tx>
            <c:strRef>
              <c:f>CS_301!$A$91</c:f>
              <c:strCache>
                <c:ptCount val="1"/>
                <c:pt idx="0">
                  <c:v>CS_301_4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CS_301!$G$91:$G$110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CS_301!$H$91:$H$110</c:f>
              <c:numCache>
                <c:formatCode>General</c:formatCode>
                <c:ptCount val="20"/>
                <c:pt idx="0">
                  <c:v>5.4</c:v>
                </c:pt>
                <c:pt idx="1">
                  <c:v>5.29</c:v>
                </c:pt>
                <c:pt idx="2" formatCode="0.000">
                  <c:v>5.21</c:v>
                </c:pt>
                <c:pt idx="3" formatCode="0.000">
                  <c:v>5.1100000000000003</c:v>
                </c:pt>
                <c:pt idx="4" formatCode="0.000">
                  <c:v>5.0200000000000005</c:v>
                </c:pt>
                <c:pt idx="5" formatCode="0.000">
                  <c:v>4.9399999999999995</c:v>
                </c:pt>
                <c:pt idx="6" formatCode="0.000">
                  <c:v>4.84</c:v>
                </c:pt>
                <c:pt idx="7" formatCode="0.000">
                  <c:v>4.7600000000000007</c:v>
                </c:pt>
                <c:pt idx="8" formatCode="0.000">
                  <c:v>4.71</c:v>
                </c:pt>
                <c:pt idx="9" formatCode="0.000">
                  <c:v>4.67</c:v>
                </c:pt>
                <c:pt idx="10" formatCode="0.000">
                  <c:v>4.6499999999999995</c:v>
                </c:pt>
                <c:pt idx="11" formatCode="0.000">
                  <c:v>4.63</c:v>
                </c:pt>
                <c:pt idx="12" formatCode="0.000">
                  <c:v>4.62</c:v>
                </c:pt>
                <c:pt idx="13" formatCode="0.000">
                  <c:v>4.6100000000000003</c:v>
                </c:pt>
                <c:pt idx="14" formatCode="0.000">
                  <c:v>4.5999999999999996</c:v>
                </c:pt>
                <c:pt idx="15" formatCode="0.000">
                  <c:v>4.5900000000000007</c:v>
                </c:pt>
                <c:pt idx="16" formatCode="0.000">
                  <c:v>4.5999999999999996</c:v>
                </c:pt>
                <c:pt idx="17" formatCode="0.000">
                  <c:v>4.6399999999999997</c:v>
                </c:pt>
                <c:pt idx="18" formatCode="0.000">
                  <c:v>4.68</c:v>
                </c:pt>
                <c:pt idx="19" formatCode="0.000">
                  <c:v>4.7200000000000006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A91-43B4-9E58-6D045A3D60C2}"/>
            </c:ext>
          </c:extLst>
        </c:ser>
        <c:ser>
          <c:idx val="6"/>
          <c:order val="6"/>
          <c:tx>
            <c:strRef>
              <c:f>CS_301!$A$113</c:f>
              <c:strCache>
                <c:ptCount val="1"/>
                <c:pt idx="0">
                  <c:v>CS_201_1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CS_301!$G$113:$G$132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CS_301!$H$113:$H$132</c:f>
              <c:numCache>
                <c:formatCode>General</c:formatCode>
                <c:ptCount val="20"/>
                <c:pt idx="0">
                  <c:v>5.47</c:v>
                </c:pt>
                <c:pt idx="1">
                  <c:v>5.34</c:v>
                </c:pt>
                <c:pt idx="2" formatCode="0.000">
                  <c:v>5.21</c:v>
                </c:pt>
                <c:pt idx="3" formatCode="0.000">
                  <c:v>5.09</c:v>
                </c:pt>
                <c:pt idx="4" formatCode="0.000">
                  <c:v>4.9899999999999993</c:v>
                </c:pt>
                <c:pt idx="5" formatCode="0.000">
                  <c:v>4.88</c:v>
                </c:pt>
                <c:pt idx="6" formatCode="0.000">
                  <c:v>4.79</c:v>
                </c:pt>
                <c:pt idx="7" formatCode="0.000">
                  <c:v>4.7</c:v>
                </c:pt>
                <c:pt idx="8" formatCode="0.000">
                  <c:v>4.5999999999999996</c:v>
                </c:pt>
                <c:pt idx="9" formatCode="0.000">
                  <c:v>4.53</c:v>
                </c:pt>
                <c:pt idx="10" formatCode="0.000">
                  <c:v>4.47</c:v>
                </c:pt>
                <c:pt idx="11" formatCode="0.000">
                  <c:v>4.34</c:v>
                </c:pt>
                <c:pt idx="12" formatCode="0.000">
                  <c:v>4.22</c:v>
                </c:pt>
                <c:pt idx="13" formatCode="0.000">
                  <c:v>4.1500000000000004</c:v>
                </c:pt>
                <c:pt idx="14" formatCode="0.000">
                  <c:v>4.1399999999999997</c:v>
                </c:pt>
                <c:pt idx="15" formatCode="0.000">
                  <c:v>4.1399999999999997</c:v>
                </c:pt>
                <c:pt idx="16" formatCode="0.000">
                  <c:v>4.1500000000000004</c:v>
                </c:pt>
                <c:pt idx="17" formatCode="0.000">
                  <c:v>4.1460000000000008</c:v>
                </c:pt>
                <c:pt idx="18" formatCode="0.000">
                  <c:v>4.1469999999999994</c:v>
                </c:pt>
                <c:pt idx="19" formatCode="0.000">
                  <c:v>4.1469999999999994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A91-43B4-9E58-6D045A3D60C2}"/>
            </c:ext>
          </c:extLst>
        </c:ser>
        <c:ser>
          <c:idx val="7"/>
          <c:order val="7"/>
          <c:tx>
            <c:strRef>
              <c:f>CS_301_RED!$A$47</c:f>
              <c:strCache>
                <c:ptCount val="1"/>
                <c:pt idx="0">
                  <c:v>CS_301_RED_6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CS_301_RED!$G$47:$G$66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CS_301_RED!$H$47:$H$66</c:f>
              <c:numCache>
                <c:formatCode>General</c:formatCode>
                <c:ptCount val="20"/>
                <c:pt idx="0">
                  <c:v>6.8999999999999995</c:v>
                </c:pt>
                <c:pt idx="1">
                  <c:v>6.75</c:v>
                </c:pt>
                <c:pt idx="2" formatCode="0.000">
                  <c:v>6.66</c:v>
                </c:pt>
                <c:pt idx="3" formatCode="0.000">
                  <c:v>6.51</c:v>
                </c:pt>
                <c:pt idx="4" formatCode="0.000">
                  <c:v>6.39</c:v>
                </c:pt>
                <c:pt idx="5" formatCode="0.000">
                  <c:v>6.2700000000000005</c:v>
                </c:pt>
                <c:pt idx="6" formatCode="0.000">
                  <c:v>6.15</c:v>
                </c:pt>
                <c:pt idx="7" formatCode="0.000">
                  <c:v>6.07</c:v>
                </c:pt>
                <c:pt idx="8" formatCode="0.000">
                  <c:v>5.94</c:v>
                </c:pt>
                <c:pt idx="9" formatCode="0.000">
                  <c:v>5.88</c:v>
                </c:pt>
                <c:pt idx="10" formatCode="0.000">
                  <c:v>5.8</c:v>
                </c:pt>
                <c:pt idx="11" formatCode="0.000">
                  <c:v>5.71</c:v>
                </c:pt>
                <c:pt idx="12" formatCode="0.000">
                  <c:v>5.6499999999999995</c:v>
                </c:pt>
                <c:pt idx="13" formatCode="0.000">
                  <c:v>5.4</c:v>
                </c:pt>
                <c:pt idx="14" formatCode="0.000">
                  <c:v>5.35</c:v>
                </c:pt>
                <c:pt idx="15" formatCode="0.000">
                  <c:v>5.35</c:v>
                </c:pt>
                <c:pt idx="16" formatCode="0.000">
                  <c:v>5.37</c:v>
                </c:pt>
                <c:pt idx="17" formatCode="0.000">
                  <c:v>5.37</c:v>
                </c:pt>
                <c:pt idx="18" formatCode="0.000">
                  <c:v>5.38</c:v>
                </c:pt>
                <c:pt idx="19" formatCode="0.000">
                  <c:v>5.39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A91-43B4-9E58-6D045A3D60C2}"/>
            </c:ext>
          </c:extLst>
        </c:ser>
        <c:ser>
          <c:idx val="8"/>
          <c:order val="8"/>
          <c:tx>
            <c:strRef>
              <c:f>CS_301_RED!$A$69</c:f>
              <c:strCache>
                <c:ptCount val="1"/>
                <c:pt idx="0">
                  <c:v>CS_301_RED_3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CS_301_RED!$G$69:$G$88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CS_301_RED!$H$69:$H$88</c:f>
              <c:numCache>
                <c:formatCode>General</c:formatCode>
                <c:ptCount val="20"/>
                <c:pt idx="0">
                  <c:v>5.57</c:v>
                </c:pt>
                <c:pt idx="1">
                  <c:v>5.46</c:v>
                </c:pt>
                <c:pt idx="2" formatCode="0.000">
                  <c:v>5.33</c:v>
                </c:pt>
                <c:pt idx="3" formatCode="0.000">
                  <c:v>5.17</c:v>
                </c:pt>
                <c:pt idx="4" formatCode="0.000">
                  <c:v>5.0600000000000005</c:v>
                </c:pt>
                <c:pt idx="5" formatCode="0.000">
                  <c:v>4.95</c:v>
                </c:pt>
                <c:pt idx="6" formatCode="0.000">
                  <c:v>4.8599999999999994</c:v>
                </c:pt>
                <c:pt idx="7" formatCode="0.000">
                  <c:v>4.7600000000000007</c:v>
                </c:pt>
                <c:pt idx="8" formatCode="0.000">
                  <c:v>4.67</c:v>
                </c:pt>
                <c:pt idx="9" formatCode="0.000">
                  <c:v>4.6100000000000003</c:v>
                </c:pt>
                <c:pt idx="10" formatCode="0.000">
                  <c:v>4.54</c:v>
                </c:pt>
                <c:pt idx="11" formatCode="0.000">
                  <c:v>4.49</c:v>
                </c:pt>
                <c:pt idx="12" formatCode="0.000">
                  <c:v>4.4600000000000009</c:v>
                </c:pt>
                <c:pt idx="13" formatCode="0.000">
                  <c:v>4.4400000000000004</c:v>
                </c:pt>
                <c:pt idx="14" formatCode="0.000">
                  <c:v>4.43</c:v>
                </c:pt>
                <c:pt idx="15" formatCode="0.000">
                  <c:v>4.3600000000000003</c:v>
                </c:pt>
                <c:pt idx="16" formatCode="0.000">
                  <c:v>4.34</c:v>
                </c:pt>
                <c:pt idx="17" formatCode="0.000">
                  <c:v>4.3600000000000003</c:v>
                </c:pt>
                <c:pt idx="18" formatCode="0.000">
                  <c:v>4.38</c:v>
                </c:pt>
                <c:pt idx="19" formatCode="0.00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A91-43B4-9E58-6D045A3D6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549663"/>
        <c:axId val="1323907551"/>
      </c:scatterChart>
      <c:valAx>
        <c:axId val="131554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907551"/>
        <c:crosses val="autoZero"/>
        <c:crossBetween val="midCat"/>
      </c:valAx>
      <c:valAx>
        <c:axId val="13239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RMSE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49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CA_124!$A$69</c:f>
              <c:strCache>
                <c:ptCount val="1"/>
                <c:pt idx="0">
                  <c:v>CA_124_4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CA_124!$G$69:$G$88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CA_124!$J$69:$J$88</c:f>
              <c:numCache>
                <c:formatCode>0.00</c:formatCode>
                <c:ptCount val="20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D6-4D0E-91B1-9EB3086EE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066415"/>
        <c:axId val="112664998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CA_124!$A$91</c15:sqref>
                        </c15:formulaRef>
                      </c:ext>
                    </c:extLst>
                    <c:strCache>
                      <c:ptCount val="1"/>
                      <c:pt idx="0">
                        <c:v>CA_124_2 (63 electrodes)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CA_124!$G$91:$G$110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  <c:pt idx="11">
                        <c:v>21</c:v>
                      </c:pt>
                      <c:pt idx="12">
                        <c:v>22</c:v>
                      </c:pt>
                      <c:pt idx="13">
                        <c:v>23</c:v>
                      </c:pt>
                      <c:pt idx="14">
                        <c:v>24</c:v>
                      </c:pt>
                      <c:pt idx="15">
                        <c:v>25</c:v>
                      </c:pt>
                      <c:pt idx="16">
                        <c:v>26</c:v>
                      </c:pt>
                      <c:pt idx="17">
                        <c:v>27</c:v>
                      </c:pt>
                      <c:pt idx="18">
                        <c:v>28</c:v>
                      </c:pt>
                      <c:pt idx="19">
                        <c:v>29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CA_124!$J$91:$J$110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22</c:v>
                      </c:pt>
                      <c:pt idx="1">
                        <c:v>17</c:v>
                      </c:pt>
                      <c:pt idx="2">
                        <c:v>15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7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5</c:v>
                      </c:pt>
                      <c:pt idx="12">
                        <c:v>4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19D6-4D0E-91B1-9EB3086EE0B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CA_124!$A$113</c15:sqref>
                        </c15:formulaRef>
                      </c:ext>
                    </c:extLst>
                    <c:strCache>
                      <c:ptCount val="1"/>
                      <c:pt idx="0">
                        <c:v>CA_124_1 (63 electrodes)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CA_124!$G$113:$G$132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  <c:pt idx="11">
                        <c:v>21</c:v>
                      </c:pt>
                      <c:pt idx="12">
                        <c:v>22</c:v>
                      </c:pt>
                      <c:pt idx="13">
                        <c:v>23</c:v>
                      </c:pt>
                      <c:pt idx="14">
                        <c:v>24</c:v>
                      </c:pt>
                      <c:pt idx="15">
                        <c:v>25</c:v>
                      </c:pt>
                      <c:pt idx="16">
                        <c:v>26</c:v>
                      </c:pt>
                      <c:pt idx="17">
                        <c:v>27</c:v>
                      </c:pt>
                      <c:pt idx="18">
                        <c:v>28</c:v>
                      </c:pt>
                      <c:pt idx="19">
                        <c:v>29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CA_124!$J$113:$J$133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19</c:v>
                      </c:pt>
                      <c:pt idx="1">
                        <c:v>17</c:v>
                      </c:pt>
                      <c:pt idx="2">
                        <c:v>17</c:v>
                      </c:pt>
                      <c:pt idx="3">
                        <c:v>17</c:v>
                      </c:pt>
                      <c:pt idx="4">
                        <c:v>15</c:v>
                      </c:pt>
                      <c:pt idx="5">
                        <c:v>13</c:v>
                      </c:pt>
                      <c:pt idx="6">
                        <c:v>11</c:v>
                      </c:pt>
                      <c:pt idx="7">
                        <c:v>10</c:v>
                      </c:pt>
                      <c:pt idx="8">
                        <c:v>9</c:v>
                      </c:pt>
                      <c:pt idx="9">
                        <c:v>6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9D6-4D0E-91B1-9EB3086EE0BA}"/>
                  </c:ext>
                </c:extLst>
              </c15:ser>
            </c15:filteredScatterSeries>
          </c:ext>
        </c:extLst>
      </c:scatterChart>
      <c:valAx>
        <c:axId val="11800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49983"/>
        <c:crosses val="autoZero"/>
        <c:crossBetween val="midCat"/>
      </c:valAx>
      <c:valAx>
        <c:axId val="11266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L2</a:t>
                </a:r>
                <a:r>
                  <a:rPr lang="en-US" baseline="0"/>
                  <a:t>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6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CA_124!$A$91</c:f>
              <c:strCache>
                <c:ptCount val="1"/>
                <c:pt idx="0">
                  <c:v>CA_124_2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CA_124!$G$91:$G$110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CA_124!$J$91:$J$110</c:f>
              <c:numCache>
                <c:formatCode>0.00</c:formatCode>
                <c:ptCount val="20"/>
                <c:pt idx="0">
                  <c:v>22</c:v>
                </c:pt>
                <c:pt idx="1">
                  <c:v>17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11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4-4825-98EA-7820501AF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068015"/>
        <c:axId val="1126643743"/>
      </c:scatterChart>
      <c:valAx>
        <c:axId val="118006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43743"/>
        <c:crosses val="autoZero"/>
        <c:crossBetween val="midCat"/>
      </c:valAx>
      <c:valAx>
        <c:axId val="11266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L2</a:t>
                </a:r>
                <a:r>
                  <a:rPr lang="en-US" baseline="0"/>
                  <a:t>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6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CA_124!$A$113</c:f>
              <c:strCache>
                <c:ptCount val="1"/>
                <c:pt idx="0">
                  <c:v>CA_124_1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CA_124!$G$113:$G$132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CA_124!$J$113:$J$132</c:f>
              <c:numCache>
                <c:formatCode>0.00</c:formatCode>
                <c:ptCount val="20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15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1-4781-9E9F-3526E20B6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204767"/>
        <c:axId val="1018230079"/>
      </c:scatterChart>
      <c:valAx>
        <c:axId val="94120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230079"/>
        <c:crosses val="autoZero"/>
        <c:crossBetween val="midCat"/>
      </c:valAx>
      <c:valAx>
        <c:axId val="10182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L2</a:t>
                </a:r>
                <a:r>
                  <a:rPr lang="en-US" baseline="0"/>
                  <a:t>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20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CS_301!$A$3</c:f>
              <c:strCache>
                <c:ptCount val="1"/>
                <c:pt idx="0">
                  <c:v>CS_301_8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CS_301!$G$3:$G$22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CS_301!$H$3:$H$22</c:f>
              <c:numCache>
                <c:formatCode>General</c:formatCode>
                <c:ptCount val="20"/>
                <c:pt idx="0">
                  <c:v>5.7600000000000007</c:v>
                </c:pt>
                <c:pt idx="1">
                  <c:v>5.6499999999999995</c:v>
                </c:pt>
                <c:pt idx="2">
                  <c:v>5.53</c:v>
                </c:pt>
                <c:pt idx="3">
                  <c:v>5.43</c:v>
                </c:pt>
                <c:pt idx="4">
                  <c:v>5.34</c:v>
                </c:pt>
                <c:pt idx="5">
                  <c:v>5.23</c:v>
                </c:pt>
                <c:pt idx="6">
                  <c:v>5.14</c:v>
                </c:pt>
                <c:pt idx="7">
                  <c:v>5.07</c:v>
                </c:pt>
                <c:pt idx="8">
                  <c:v>4.8</c:v>
                </c:pt>
                <c:pt idx="9">
                  <c:v>4.75</c:v>
                </c:pt>
                <c:pt idx="10">
                  <c:v>4.7</c:v>
                </c:pt>
                <c:pt idx="11">
                  <c:v>4.67</c:v>
                </c:pt>
                <c:pt idx="12">
                  <c:v>4.6499999999999995</c:v>
                </c:pt>
                <c:pt idx="13">
                  <c:v>4.6399999999999997</c:v>
                </c:pt>
                <c:pt idx="14">
                  <c:v>4.6399999999999997</c:v>
                </c:pt>
                <c:pt idx="15">
                  <c:v>4.63</c:v>
                </c:pt>
                <c:pt idx="16">
                  <c:v>4.62</c:v>
                </c:pt>
                <c:pt idx="17">
                  <c:v>4.6499999999999995</c:v>
                </c:pt>
                <c:pt idx="18">
                  <c:v>4.68</c:v>
                </c:pt>
                <c:pt idx="19">
                  <c:v>4.6899999999999995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2-4B32-A8AF-4DF0BE69E662}"/>
            </c:ext>
          </c:extLst>
        </c:ser>
        <c:ser>
          <c:idx val="1"/>
          <c:order val="1"/>
          <c:tx>
            <c:strRef>
              <c:f>CS_301!$A$25</c:f>
              <c:strCache>
                <c:ptCount val="1"/>
                <c:pt idx="0">
                  <c:v>CS_301_7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CS_301!$G$25:$G$44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CS_301!$H$25:$H$44</c:f>
              <c:numCache>
                <c:formatCode>General</c:formatCode>
                <c:ptCount val="20"/>
                <c:pt idx="0">
                  <c:v>5.8599999999999994</c:v>
                </c:pt>
                <c:pt idx="1">
                  <c:v>5.7200000000000006</c:v>
                </c:pt>
                <c:pt idx="2" formatCode="0.000">
                  <c:v>5.5900000000000007</c:v>
                </c:pt>
                <c:pt idx="3" formatCode="0.000">
                  <c:v>5.42</c:v>
                </c:pt>
                <c:pt idx="4" formatCode="0.000">
                  <c:v>5.31</c:v>
                </c:pt>
                <c:pt idx="5" formatCode="0.000">
                  <c:v>5.21</c:v>
                </c:pt>
                <c:pt idx="6" formatCode="0.000">
                  <c:v>5.1100000000000003</c:v>
                </c:pt>
                <c:pt idx="7" formatCode="0.000">
                  <c:v>5</c:v>
                </c:pt>
                <c:pt idx="8" formatCode="0.000">
                  <c:v>4.92</c:v>
                </c:pt>
                <c:pt idx="9" formatCode="0.000">
                  <c:v>4.84</c:v>
                </c:pt>
                <c:pt idx="10" formatCode="0.000">
                  <c:v>4.7699999999999996</c:v>
                </c:pt>
                <c:pt idx="11" formatCode="0.000">
                  <c:v>4.68</c:v>
                </c:pt>
                <c:pt idx="12" formatCode="0.000">
                  <c:v>4.5599999999999996</c:v>
                </c:pt>
                <c:pt idx="13" formatCode="0.000">
                  <c:v>4.53</c:v>
                </c:pt>
                <c:pt idx="14" formatCode="0.000">
                  <c:v>4.5</c:v>
                </c:pt>
                <c:pt idx="15" formatCode="0.000">
                  <c:v>4.49</c:v>
                </c:pt>
                <c:pt idx="16" formatCode="0.000">
                  <c:v>4.49</c:v>
                </c:pt>
                <c:pt idx="17" formatCode="0.000">
                  <c:v>4.5</c:v>
                </c:pt>
                <c:pt idx="18" formatCode="0.000">
                  <c:v>4.53</c:v>
                </c:pt>
                <c:pt idx="19" formatCode="0.000">
                  <c:v>4.5599999999999996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C2-4B32-A8AF-4DF0BE69E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515887"/>
        <c:axId val="1423733519"/>
      </c:scatterChart>
      <c:valAx>
        <c:axId val="145851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33519"/>
        <c:crosses val="autoZero"/>
        <c:crossBetween val="midCat"/>
      </c:valAx>
      <c:valAx>
        <c:axId val="142373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51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CS_301!$A$47</c:f>
              <c:strCache>
                <c:ptCount val="1"/>
                <c:pt idx="0">
                  <c:v>CS_301_6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CS_301!$G$47:$G$66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CS_301!$H$47:$H$66</c:f>
              <c:numCache>
                <c:formatCode>General</c:formatCode>
                <c:ptCount val="20"/>
                <c:pt idx="0">
                  <c:v>6.7600000000000007</c:v>
                </c:pt>
                <c:pt idx="1">
                  <c:v>6.6499999999999995</c:v>
                </c:pt>
                <c:pt idx="2" formatCode="0.000">
                  <c:v>6.54</c:v>
                </c:pt>
                <c:pt idx="3" formatCode="0.000">
                  <c:v>6.39</c:v>
                </c:pt>
                <c:pt idx="4" formatCode="0.000">
                  <c:v>6.2899999999999991</c:v>
                </c:pt>
                <c:pt idx="5" formatCode="0.000">
                  <c:v>6.19</c:v>
                </c:pt>
                <c:pt idx="6" formatCode="0.000">
                  <c:v>6.09</c:v>
                </c:pt>
                <c:pt idx="7" formatCode="0.000">
                  <c:v>6</c:v>
                </c:pt>
                <c:pt idx="8" formatCode="0.000">
                  <c:v>5.8900000000000006</c:v>
                </c:pt>
                <c:pt idx="9" formatCode="0.000">
                  <c:v>5.8100000000000005</c:v>
                </c:pt>
                <c:pt idx="10" formatCode="0.000">
                  <c:v>5.74</c:v>
                </c:pt>
                <c:pt idx="11" formatCode="0.000">
                  <c:v>5.67</c:v>
                </c:pt>
                <c:pt idx="12" formatCode="0.000">
                  <c:v>5.54</c:v>
                </c:pt>
                <c:pt idx="13" formatCode="0.000">
                  <c:v>5.38</c:v>
                </c:pt>
                <c:pt idx="14" formatCode="0.000">
                  <c:v>5.31</c:v>
                </c:pt>
                <c:pt idx="15" formatCode="0.000">
                  <c:v>5.29</c:v>
                </c:pt>
                <c:pt idx="16" formatCode="0.000">
                  <c:v>5.28</c:v>
                </c:pt>
                <c:pt idx="17" formatCode="0.000">
                  <c:v>5.29</c:v>
                </c:pt>
                <c:pt idx="18" formatCode="0.000">
                  <c:v>5.31</c:v>
                </c:pt>
                <c:pt idx="19" formatCode="0.000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EA-4E33-BC24-5A82C2E0C6D3}"/>
            </c:ext>
          </c:extLst>
        </c:ser>
        <c:ser>
          <c:idx val="1"/>
          <c:order val="1"/>
          <c:tx>
            <c:strRef>
              <c:f>CS_301!$A$69</c:f>
              <c:strCache>
                <c:ptCount val="1"/>
                <c:pt idx="0">
                  <c:v>CS_301_5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CS_301!$G$69:$G$88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CS_301!$H$69:$H$88</c:f>
              <c:numCache>
                <c:formatCode>General</c:formatCode>
                <c:ptCount val="20"/>
                <c:pt idx="0">
                  <c:v>6.7</c:v>
                </c:pt>
                <c:pt idx="1">
                  <c:v>6.6</c:v>
                </c:pt>
                <c:pt idx="2" formatCode="0.000">
                  <c:v>6.51</c:v>
                </c:pt>
                <c:pt idx="3" formatCode="0.000">
                  <c:v>6.42</c:v>
                </c:pt>
                <c:pt idx="4" formatCode="0.000">
                  <c:v>6.33</c:v>
                </c:pt>
                <c:pt idx="5" formatCode="0.000">
                  <c:v>6.25</c:v>
                </c:pt>
                <c:pt idx="6" formatCode="0.000">
                  <c:v>6.17</c:v>
                </c:pt>
                <c:pt idx="7" formatCode="0.000">
                  <c:v>6.1000000000000005</c:v>
                </c:pt>
                <c:pt idx="8" formatCode="0.000">
                  <c:v>6.04</c:v>
                </c:pt>
                <c:pt idx="9" formatCode="0.000">
                  <c:v>5.98</c:v>
                </c:pt>
                <c:pt idx="10" formatCode="0.000">
                  <c:v>5.9300000000000006</c:v>
                </c:pt>
                <c:pt idx="11" formatCode="0.000">
                  <c:v>5.8900000000000006</c:v>
                </c:pt>
                <c:pt idx="12" formatCode="0.000">
                  <c:v>5.8599999999999994</c:v>
                </c:pt>
                <c:pt idx="13" formatCode="0.000">
                  <c:v>5.84</c:v>
                </c:pt>
                <c:pt idx="14" formatCode="0.000">
                  <c:v>5.83</c:v>
                </c:pt>
                <c:pt idx="15" formatCode="0.000">
                  <c:v>5.79</c:v>
                </c:pt>
                <c:pt idx="16" formatCode="0.000">
                  <c:v>5.67</c:v>
                </c:pt>
                <c:pt idx="17" formatCode="0.000">
                  <c:v>5.7</c:v>
                </c:pt>
                <c:pt idx="18" formatCode="0.000">
                  <c:v>5.7600000000000007</c:v>
                </c:pt>
                <c:pt idx="19" formatCode="0.000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EA-4E33-BC24-5A82C2E0C6D3}"/>
            </c:ext>
          </c:extLst>
        </c:ser>
        <c:ser>
          <c:idx val="2"/>
          <c:order val="2"/>
          <c:tx>
            <c:strRef>
              <c:f>CS_301!$A$91</c:f>
              <c:strCache>
                <c:ptCount val="1"/>
                <c:pt idx="0">
                  <c:v>CS_301_4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CS_301!$G$91:$G$110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CS_301!$H$91:$H$110</c:f>
              <c:numCache>
                <c:formatCode>General</c:formatCode>
                <c:ptCount val="20"/>
                <c:pt idx="0">
                  <c:v>5.4</c:v>
                </c:pt>
                <c:pt idx="1">
                  <c:v>5.29</c:v>
                </c:pt>
                <c:pt idx="2" formatCode="0.000">
                  <c:v>5.21</c:v>
                </c:pt>
                <c:pt idx="3" formatCode="0.000">
                  <c:v>5.1100000000000003</c:v>
                </c:pt>
                <c:pt idx="4" formatCode="0.000">
                  <c:v>5.0200000000000005</c:v>
                </c:pt>
                <c:pt idx="5" formatCode="0.000">
                  <c:v>4.9399999999999995</c:v>
                </c:pt>
                <c:pt idx="6" formatCode="0.000">
                  <c:v>4.84</c:v>
                </c:pt>
                <c:pt idx="7" formatCode="0.000">
                  <c:v>4.7600000000000007</c:v>
                </c:pt>
                <c:pt idx="8" formatCode="0.000">
                  <c:v>4.71</c:v>
                </c:pt>
                <c:pt idx="9" formatCode="0.000">
                  <c:v>4.67</c:v>
                </c:pt>
                <c:pt idx="10" formatCode="0.000">
                  <c:v>4.6499999999999995</c:v>
                </c:pt>
                <c:pt idx="11" formatCode="0.000">
                  <c:v>4.63</c:v>
                </c:pt>
                <c:pt idx="12" formatCode="0.000">
                  <c:v>4.62</c:v>
                </c:pt>
                <c:pt idx="13" formatCode="0.000">
                  <c:v>4.6100000000000003</c:v>
                </c:pt>
                <c:pt idx="14" formatCode="0.000">
                  <c:v>4.5999999999999996</c:v>
                </c:pt>
                <c:pt idx="15" formatCode="0.000">
                  <c:v>4.5900000000000007</c:v>
                </c:pt>
                <c:pt idx="16" formatCode="0.000">
                  <c:v>4.5999999999999996</c:v>
                </c:pt>
                <c:pt idx="17" formatCode="0.000">
                  <c:v>4.6399999999999997</c:v>
                </c:pt>
                <c:pt idx="18" formatCode="0.000">
                  <c:v>4.68</c:v>
                </c:pt>
                <c:pt idx="19" formatCode="0.000">
                  <c:v>4.7200000000000006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EA-4E33-BC24-5A82C2E0C6D3}"/>
            </c:ext>
          </c:extLst>
        </c:ser>
        <c:ser>
          <c:idx val="3"/>
          <c:order val="3"/>
          <c:tx>
            <c:strRef>
              <c:f>CS_301!$A$113</c:f>
              <c:strCache>
                <c:ptCount val="1"/>
                <c:pt idx="0">
                  <c:v>CS_201_1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CS_301!$G$113:$G$132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CS_301!$H$113:$H$132</c:f>
              <c:numCache>
                <c:formatCode>General</c:formatCode>
                <c:ptCount val="20"/>
                <c:pt idx="0">
                  <c:v>5.47</c:v>
                </c:pt>
                <c:pt idx="1">
                  <c:v>5.34</c:v>
                </c:pt>
                <c:pt idx="2" formatCode="0.000">
                  <c:v>5.21</c:v>
                </c:pt>
                <c:pt idx="3" formatCode="0.000">
                  <c:v>5.09</c:v>
                </c:pt>
                <c:pt idx="4" formatCode="0.000">
                  <c:v>4.9899999999999993</c:v>
                </c:pt>
                <c:pt idx="5" formatCode="0.000">
                  <c:v>4.88</c:v>
                </c:pt>
                <c:pt idx="6" formatCode="0.000">
                  <c:v>4.79</c:v>
                </c:pt>
                <c:pt idx="7" formatCode="0.000">
                  <c:v>4.7</c:v>
                </c:pt>
                <c:pt idx="8" formatCode="0.000">
                  <c:v>4.5999999999999996</c:v>
                </c:pt>
                <c:pt idx="9" formatCode="0.000">
                  <c:v>4.53</c:v>
                </c:pt>
                <c:pt idx="10" formatCode="0.000">
                  <c:v>4.47</c:v>
                </c:pt>
                <c:pt idx="11" formatCode="0.000">
                  <c:v>4.34</c:v>
                </c:pt>
                <c:pt idx="12" formatCode="0.000">
                  <c:v>4.22</c:v>
                </c:pt>
                <c:pt idx="13" formatCode="0.000">
                  <c:v>4.1500000000000004</c:v>
                </c:pt>
                <c:pt idx="14" formatCode="0.000">
                  <c:v>4.1399999999999997</c:v>
                </c:pt>
                <c:pt idx="15" formatCode="0.000">
                  <c:v>4.1399999999999997</c:v>
                </c:pt>
                <c:pt idx="16" formatCode="0.000">
                  <c:v>4.1500000000000004</c:v>
                </c:pt>
                <c:pt idx="17" formatCode="0.000">
                  <c:v>4.1460000000000008</c:v>
                </c:pt>
                <c:pt idx="18" formatCode="0.000">
                  <c:v>4.1469999999999994</c:v>
                </c:pt>
                <c:pt idx="19" formatCode="0.000">
                  <c:v>4.1469999999999994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EA-4E33-BC24-5A82C2E0C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436223"/>
        <c:axId val="1423726863"/>
      </c:scatterChart>
      <c:valAx>
        <c:axId val="115943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26863"/>
        <c:crosses val="autoZero"/>
        <c:crossBetween val="midCat"/>
      </c:valAx>
      <c:valAx>
        <c:axId val="14237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3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CS_301!$A$47</c:f>
              <c:strCache>
                <c:ptCount val="1"/>
                <c:pt idx="0">
                  <c:v>CS_301_6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4711154855643044"/>
                  <c:y val="-0.351435914260717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CS_301!$G$47:$G$66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CS_301!$J$47:$J$66</c:f>
              <c:numCache>
                <c:formatCode>0.00</c:formatCode>
                <c:ptCount val="20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AD-4640-8E86-C6221CBE5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098815"/>
        <c:axId val="941416815"/>
      </c:scatterChart>
      <c:valAx>
        <c:axId val="118009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16815"/>
        <c:crosses val="autoZero"/>
        <c:crossBetween val="midCat"/>
      </c:valAx>
      <c:valAx>
        <c:axId val="94141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L2</a:t>
                </a:r>
                <a:r>
                  <a:rPr lang="en-US" baseline="0"/>
                  <a:t> norm(mm)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9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CS_301!$A$69</c:f>
              <c:strCache>
                <c:ptCount val="1"/>
                <c:pt idx="0">
                  <c:v>CS_301_5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5388932633420824"/>
                  <c:y val="-0.382927967337416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CS_301!$G$69:$G$88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CS_301!$J$69:$J$88</c:f>
              <c:numCache>
                <c:formatCode>0.00</c:formatCode>
                <c:ptCount val="20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8-4545-9E67-3B5BCDC0F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953391"/>
        <c:axId val="1183825999"/>
      </c:scatterChart>
      <c:valAx>
        <c:axId val="94395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25999"/>
        <c:crosses val="autoZero"/>
        <c:crossBetween val="midCat"/>
      </c:valAx>
      <c:valAx>
        <c:axId val="118382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L2</a:t>
                </a:r>
                <a:r>
                  <a:rPr lang="en-US" baseline="0"/>
                  <a:t>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5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CS_301!$A$91</c:f>
              <c:strCache>
                <c:ptCount val="1"/>
                <c:pt idx="0">
                  <c:v>CS_301_4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2488932633420823"/>
                  <c:y val="-0.26885243511227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CS_301!$G$91:$G$110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CS_301!$J$91:$J$110</c:f>
              <c:numCache>
                <c:formatCode>0.00</c:formatCode>
                <c:ptCount val="20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9B-4C74-9B1D-EDF04B794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756063"/>
        <c:axId val="1183816015"/>
      </c:scatterChart>
      <c:valAx>
        <c:axId val="11917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16015"/>
        <c:crosses val="autoZero"/>
        <c:crossBetween val="midCat"/>
      </c:valAx>
      <c:valAx>
        <c:axId val="118381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L2</a:t>
                </a:r>
                <a:r>
                  <a:rPr lang="en-US" baseline="0"/>
                  <a:t>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7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CS_301_RED!$A$3</c:f>
              <c:strCache>
                <c:ptCount val="1"/>
                <c:pt idx="0">
                  <c:v>CS_301_RED_8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CS_301_RED!$G$3:$G$22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CS_301_RED!$H$3:$H$22</c:f>
              <c:numCache>
                <c:formatCode>General</c:formatCode>
                <c:ptCount val="20"/>
                <c:pt idx="0">
                  <c:v>5.75</c:v>
                </c:pt>
                <c:pt idx="1">
                  <c:v>5.6499999999999995</c:v>
                </c:pt>
                <c:pt idx="2">
                  <c:v>5.53</c:v>
                </c:pt>
                <c:pt idx="3">
                  <c:v>5.44</c:v>
                </c:pt>
                <c:pt idx="4">
                  <c:v>5.35</c:v>
                </c:pt>
                <c:pt idx="5">
                  <c:v>5.28</c:v>
                </c:pt>
                <c:pt idx="6">
                  <c:v>5.2</c:v>
                </c:pt>
                <c:pt idx="7">
                  <c:v>5.15</c:v>
                </c:pt>
                <c:pt idx="8">
                  <c:v>5.1100000000000003</c:v>
                </c:pt>
                <c:pt idx="9">
                  <c:v>5.09</c:v>
                </c:pt>
                <c:pt idx="10">
                  <c:v>5.07</c:v>
                </c:pt>
                <c:pt idx="11">
                  <c:v>5.05</c:v>
                </c:pt>
                <c:pt idx="12">
                  <c:v>5.04</c:v>
                </c:pt>
                <c:pt idx="13">
                  <c:v>5.0299999999999994</c:v>
                </c:pt>
                <c:pt idx="14">
                  <c:v>5.09</c:v>
                </c:pt>
                <c:pt idx="15">
                  <c:v>5.1000000000000005</c:v>
                </c:pt>
                <c:pt idx="16">
                  <c:v>5.12</c:v>
                </c:pt>
                <c:pt idx="17" formatCode="0.00">
                  <c:v>5.18</c:v>
                </c:pt>
                <c:pt idx="18" formatCode="0.00">
                  <c:v>5.2</c:v>
                </c:pt>
                <c:pt idx="19" formatCode="0.00">
                  <c:v>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6-4031-BA52-8091A3877D0E}"/>
            </c:ext>
          </c:extLst>
        </c:ser>
        <c:ser>
          <c:idx val="1"/>
          <c:order val="1"/>
          <c:tx>
            <c:strRef>
              <c:f>CS_301_RED!$A$25</c:f>
              <c:strCache>
                <c:ptCount val="1"/>
                <c:pt idx="0">
                  <c:v>CS_301_RED_7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CS_301_RED!$G$25:$G$44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CS_301_RED!$H$25:$H$44</c:f>
              <c:numCache>
                <c:formatCode>General</c:formatCode>
                <c:ptCount val="20"/>
                <c:pt idx="0">
                  <c:v>5.8500000000000005</c:v>
                </c:pt>
                <c:pt idx="1">
                  <c:v>5.74</c:v>
                </c:pt>
                <c:pt idx="2" formatCode="0.000">
                  <c:v>5.62</c:v>
                </c:pt>
                <c:pt idx="3" formatCode="0.000">
                  <c:v>5.52</c:v>
                </c:pt>
                <c:pt idx="4" formatCode="0.000">
                  <c:v>5.43</c:v>
                </c:pt>
                <c:pt idx="5" formatCode="0.000">
                  <c:v>5.32</c:v>
                </c:pt>
                <c:pt idx="6" formatCode="0.000">
                  <c:v>5.23</c:v>
                </c:pt>
                <c:pt idx="7" formatCode="0.000">
                  <c:v>5.1599999999999993</c:v>
                </c:pt>
                <c:pt idx="8" formatCode="0.000">
                  <c:v>4.8999999999999995</c:v>
                </c:pt>
                <c:pt idx="9" formatCode="0.000">
                  <c:v>4.84</c:v>
                </c:pt>
                <c:pt idx="10" formatCode="0.000">
                  <c:v>4.8</c:v>
                </c:pt>
                <c:pt idx="11" formatCode="0.000">
                  <c:v>4.7600000000000007</c:v>
                </c:pt>
                <c:pt idx="12" formatCode="0.000">
                  <c:v>4.74</c:v>
                </c:pt>
                <c:pt idx="13" formatCode="0.000">
                  <c:v>4.7299999999999995</c:v>
                </c:pt>
                <c:pt idx="14" formatCode="0.000">
                  <c:v>4.7299999999999995</c:v>
                </c:pt>
                <c:pt idx="15" formatCode="0.000">
                  <c:v>4.7200000000000006</c:v>
                </c:pt>
                <c:pt idx="16" formatCode="0.000">
                  <c:v>4.71</c:v>
                </c:pt>
                <c:pt idx="17" formatCode="0.000">
                  <c:v>4.74</c:v>
                </c:pt>
                <c:pt idx="18" formatCode="0.000">
                  <c:v>4.7699999999999996</c:v>
                </c:pt>
                <c:pt idx="19" formatCode="0.000">
                  <c:v>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E-41B1-A65D-8019655A7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911039"/>
        <c:axId val="1323903391"/>
      </c:scatterChart>
      <c:valAx>
        <c:axId val="115891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903391"/>
        <c:crosses val="autoZero"/>
        <c:crossBetween val="midCat"/>
      </c:valAx>
      <c:valAx>
        <c:axId val="132390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1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CS_301_RED!$A$47</c:f>
              <c:strCache>
                <c:ptCount val="1"/>
                <c:pt idx="0">
                  <c:v>CS_301_RED_6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CS_301_RED!$G$47:$G$66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CS_301_RED!$J$47:$J$66</c:f>
              <c:numCache>
                <c:formatCode>0.00</c:formatCode>
                <c:ptCount val="20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2-4B99-9665-BCF89748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759263"/>
        <c:axId val="1183827663"/>
      </c:scatterChart>
      <c:valAx>
        <c:axId val="119175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27663"/>
        <c:crosses val="autoZero"/>
        <c:crossBetween val="midCat"/>
      </c:valAx>
      <c:valAx>
        <c:axId val="118382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75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CS_301_RED!$A$69</c:f>
              <c:strCache>
                <c:ptCount val="1"/>
                <c:pt idx="0">
                  <c:v>CS_301_RED_3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CS_301_RED!$G$69:$G$88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CS_301_RED!$J$69:$J$88</c:f>
              <c:numCache>
                <c:formatCode>0.00</c:formatCode>
                <c:ptCount val="20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4.3333333333333295</c:v>
                </c:pt>
                <c:pt idx="18">
                  <c:v>4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4-47DE-852D-04B760E6C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771263"/>
        <c:axId val="1183825167"/>
      </c:scatterChart>
      <c:valAx>
        <c:axId val="119177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25167"/>
        <c:crosses val="autoZero"/>
        <c:crossBetween val="midCat"/>
      </c:valAx>
      <c:valAx>
        <c:axId val="118382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77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CS_301_RED!$A$3</c:f>
              <c:strCache>
                <c:ptCount val="1"/>
                <c:pt idx="0">
                  <c:v>CS_301_RED_8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0944488188976378"/>
                  <c:y val="-0.207112860892388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CS_301_RED!$G$3:$G$22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CS_301_RED!$J$3:$J$22</c:f>
              <c:numCache>
                <c:formatCode>0.00</c:formatCode>
                <c:ptCount val="20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B-408A-AF7F-74C1AA5A9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946591"/>
        <c:axId val="1183828911"/>
      </c:scatterChart>
      <c:valAx>
        <c:axId val="94394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28911"/>
        <c:crosses val="autoZero"/>
        <c:crossBetween val="midCat"/>
      </c:valAx>
      <c:valAx>
        <c:axId val="11838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L2</a:t>
                </a:r>
                <a:r>
                  <a:rPr lang="en-US" baseline="0"/>
                  <a:t>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4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CS_301_RED!$A$25</c:f>
              <c:strCache>
                <c:ptCount val="1"/>
                <c:pt idx="0">
                  <c:v>CS_301_RED_7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4988932633420823"/>
                  <c:y val="-0.317957859434237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CS_301_RED!$G$25:$G$44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CS_301_RED!$J$25:$J$44</c:f>
              <c:numCache>
                <c:formatCode>0.00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3-44C6-B683-A5B55D8A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094815"/>
        <c:axId val="1183819343"/>
      </c:scatterChart>
      <c:valAx>
        <c:axId val="11800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19343"/>
        <c:crosses val="autoZero"/>
        <c:crossBetween val="midCat"/>
      </c:valAx>
      <c:valAx>
        <c:axId val="11838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L2</a:t>
                </a:r>
                <a:r>
                  <a:rPr lang="en-US" baseline="0"/>
                  <a:t> norm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9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Pixel</a:t>
            </a:r>
            <a:r>
              <a:rPr lang="en-US" baseline="0"/>
              <a:t> Value out-projection with chessboard</a:t>
            </a:r>
            <a:endParaRPr lang="en-US"/>
          </a:p>
        </c:rich>
      </c:tx>
      <c:layout>
        <c:manualLayout>
          <c:xMode val="edge"/>
          <c:yMode val="edge"/>
          <c:x val="0.17022812501134454"/>
          <c:y val="2.5348542458808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381066877129874E-2"/>
          <c:y val="0.13914114748328055"/>
          <c:w val="0.72525068981761898"/>
          <c:h val="0.73349768712912988"/>
        </c:manualLayout>
      </c:layout>
      <c:scatterChart>
        <c:scatterStyle val="lineMarker"/>
        <c:varyColors val="0"/>
        <c:ser>
          <c:idx val="0"/>
          <c:order val="0"/>
          <c:tx>
            <c:strRef>
              <c:f>depth_calibration!$C$1</c:f>
              <c:strCache>
                <c:ptCount val="1"/>
                <c:pt idx="0">
                  <c:v>Matlab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8.9306603282981234E-2"/>
                  <c:y val="-3.8692431133542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7A-4922-8469-F147D287B033}"/>
                </c:ext>
              </c:extLst>
            </c:dLbl>
            <c:dLbl>
              <c:idx val="1"/>
              <c:layout>
                <c:manualLayout>
                  <c:x val="-7.3766587742965697E-2"/>
                  <c:y val="-5.62918679515641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7A-4922-8469-F147D287B0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depth_calibration!$A$3:$A$9</c:f>
              <c:numCache>
                <c:formatCode>General</c:formatCode>
                <c:ptCount val="7"/>
                <c:pt idx="0">
                  <c:v>400</c:v>
                </c:pt>
                <c:pt idx="1">
                  <c:v>600</c:v>
                </c:pt>
                <c:pt idx="2">
                  <c:v>800</c:v>
                </c:pt>
                <c:pt idx="3">
                  <c:v>1000</c:v>
                </c:pt>
                <c:pt idx="4">
                  <c:v>1200</c:v>
                </c:pt>
                <c:pt idx="5">
                  <c:v>1400</c:v>
                </c:pt>
                <c:pt idx="6">
                  <c:v>1600</c:v>
                </c:pt>
              </c:numCache>
            </c:numRef>
          </c:xVal>
          <c:yVal>
            <c:numRef>
              <c:f>depth_calibration!$C$3:$C$9</c:f>
              <c:numCache>
                <c:formatCode>General</c:formatCode>
                <c:ptCount val="7"/>
                <c:pt idx="0">
                  <c:v>12.4</c:v>
                </c:pt>
                <c:pt idx="1">
                  <c:v>14.5</c:v>
                </c:pt>
                <c:pt idx="2">
                  <c:v>18.5</c:v>
                </c:pt>
                <c:pt idx="3">
                  <c:v>22.1</c:v>
                </c:pt>
                <c:pt idx="4">
                  <c:v>26</c:v>
                </c:pt>
                <c:pt idx="5">
                  <c:v>27.8</c:v>
                </c:pt>
                <c:pt idx="6">
                  <c:v>30.7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74-4AC7-A3E3-72A555A92301}"/>
            </c:ext>
          </c:extLst>
        </c:ser>
        <c:ser>
          <c:idx val="1"/>
          <c:order val="1"/>
          <c:tx>
            <c:strRef>
              <c:f>depth_calibration!$B$1</c:f>
              <c:strCache>
                <c:ptCount val="1"/>
                <c:pt idx="0">
                  <c:v>Parameters in dataset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8.7364101340479297E-2"/>
                  <c:y val="1.0585991956918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7A-4922-8469-F147D287B033}"/>
                </c:ext>
              </c:extLst>
            </c:dLbl>
            <c:dLbl>
              <c:idx val="1"/>
              <c:layout>
                <c:manualLayout>
                  <c:x val="1.9909880146100618E-3"/>
                  <c:y val="4.9304752956566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7A-4922-8469-F147D287B0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depth_calibration!$A$3:$A$9</c:f>
              <c:numCache>
                <c:formatCode>General</c:formatCode>
                <c:ptCount val="7"/>
                <c:pt idx="0">
                  <c:v>400</c:v>
                </c:pt>
                <c:pt idx="1">
                  <c:v>600</c:v>
                </c:pt>
                <c:pt idx="2">
                  <c:v>800</c:v>
                </c:pt>
                <c:pt idx="3">
                  <c:v>1000</c:v>
                </c:pt>
                <c:pt idx="4">
                  <c:v>1200</c:v>
                </c:pt>
                <c:pt idx="5">
                  <c:v>1400</c:v>
                </c:pt>
                <c:pt idx="6">
                  <c:v>1600</c:v>
                </c:pt>
              </c:numCache>
            </c:numRef>
          </c:xVal>
          <c:yVal>
            <c:numRef>
              <c:f>depth_calibration!$B$3:$B$9</c:f>
              <c:numCache>
                <c:formatCode>General</c:formatCode>
                <c:ptCount val="7"/>
                <c:pt idx="0">
                  <c:v>10.1</c:v>
                </c:pt>
                <c:pt idx="1">
                  <c:v>11.5</c:v>
                </c:pt>
                <c:pt idx="2">
                  <c:v>14.4</c:v>
                </c:pt>
                <c:pt idx="3">
                  <c:v>16.7</c:v>
                </c:pt>
                <c:pt idx="4">
                  <c:v>19.3</c:v>
                </c:pt>
                <c:pt idx="5">
                  <c:v>20.5</c:v>
                </c:pt>
                <c:pt idx="6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A-4922-8469-F147D287B033}"/>
            </c:ext>
          </c:extLst>
        </c:ser>
        <c:ser>
          <c:idx val="2"/>
          <c:order val="2"/>
          <c:tx>
            <c:strRef>
              <c:f>depth_calibration!$D$1</c:f>
              <c:strCache>
                <c:ptCount val="1"/>
                <c:pt idx="0">
                  <c:v>OpenCV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8.9306603282981234E-2"/>
                  <c:y val="-8.09310794967948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7A-4922-8469-F147D287B0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depth_calibration!$A$3:$A$9</c:f>
              <c:numCache>
                <c:formatCode>General</c:formatCode>
                <c:ptCount val="7"/>
                <c:pt idx="0">
                  <c:v>400</c:v>
                </c:pt>
                <c:pt idx="1">
                  <c:v>600</c:v>
                </c:pt>
                <c:pt idx="2">
                  <c:v>800</c:v>
                </c:pt>
                <c:pt idx="3">
                  <c:v>1000</c:v>
                </c:pt>
                <c:pt idx="4">
                  <c:v>1200</c:v>
                </c:pt>
                <c:pt idx="5">
                  <c:v>1400</c:v>
                </c:pt>
                <c:pt idx="6">
                  <c:v>1600</c:v>
                </c:pt>
              </c:numCache>
            </c:numRef>
          </c:xVal>
          <c:yVal>
            <c:numRef>
              <c:f>depth_calibration!$D$3:$D$9</c:f>
              <c:numCache>
                <c:formatCode>General</c:formatCode>
                <c:ptCount val="7"/>
                <c:pt idx="0">
                  <c:v>14.7</c:v>
                </c:pt>
                <c:pt idx="1">
                  <c:v>17.8</c:v>
                </c:pt>
                <c:pt idx="2">
                  <c:v>22.8</c:v>
                </c:pt>
                <c:pt idx="3">
                  <c:v>27.7</c:v>
                </c:pt>
                <c:pt idx="4">
                  <c:v>32.299999999999997</c:v>
                </c:pt>
                <c:pt idx="5">
                  <c:v>35.200000000000003</c:v>
                </c:pt>
                <c:pt idx="6">
                  <c:v>38.799999999999997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A-4922-8469-F147D287B0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98748432"/>
        <c:axId val="748480256"/>
      </c:scatterChart>
      <c:valAx>
        <c:axId val="79874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the Camera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80256"/>
        <c:crosses val="autoZero"/>
        <c:crossBetween val="midCat"/>
      </c:valAx>
      <c:valAx>
        <c:axId val="74848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L2 norm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48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80735887035105"/>
          <c:y val="0.46111328217024605"/>
          <c:w val="0.17553146020681842"/>
          <c:h val="0.16560469195521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Cluster Inertia Vs Depth offset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cluster_without_gt!$B$2</c:f>
              <c:strCache>
                <c:ptCount val="1"/>
                <c:pt idx="0">
                  <c:v>CA_124_7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cluster_without_gt!$D$2:$D$11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cluster_without_gt!$E$2:$E$11</c:f>
              <c:numCache>
                <c:formatCode>0.000</c:formatCode>
                <c:ptCount val="10"/>
                <c:pt idx="0">
                  <c:v>0.31</c:v>
                </c:pt>
                <c:pt idx="1">
                  <c:v>0.27</c:v>
                </c:pt>
                <c:pt idx="2">
                  <c:v>0.25600866850126702</c:v>
                </c:pt>
                <c:pt idx="3">
                  <c:v>0.21679421897000001</c:v>
                </c:pt>
                <c:pt idx="4">
                  <c:v>0.208496756040388</c:v>
                </c:pt>
                <c:pt idx="5">
                  <c:v>0.21608672883643901</c:v>
                </c:pt>
                <c:pt idx="6">
                  <c:v>0.22952269906821801</c:v>
                </c:pt>
                <c:pt idx="7">
                  <c:v>0.24496620973229</c:v>
                </c:pt>
                <c:pt idx="8">
                  <c:v>0.26640089055105798</c:v>
                </c:pt>
                <c:pt idx="9">
                  <c:v>0.29397916260768298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D6-4FEE-A6A0-31B7782E82C1}"/>
            </c:ext>
          </c:extLst>
        </c:ser>
        <c:ser>
          <c:idx val="1"/>
          <c:order val="1"/>
          <c:tx>
            <c:strRef>
              <c:f>cluster_without_gt!$B$12</c:f>
              <c:strCache>
                <c:ptCount val="1"/>
                <c:pt idx="0">
                  <c:v>CA_124_8 (63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cluster_without_gt!$D$12:$D$21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cluster_without_gt!$E$12:$E$21</c:f>
              <c:numCache>
                <c:formatCode>0.000</c:formatCode>
                <c:ptCount val="10"/>
                <c:pt idx="0">
                  <c:v>0.30599999999999999</c:v>
                </c:pt>
                <c:pt idx="1">
                  <c:v>0.26443484277031598</c:v>
                </c:pt>
                <c:pt idx="2">
                  <c:v>0.255297728955165</c:v>
                </c:pt>
                <c:pt idx="3">
                  <c:v>0.22588831543812099</c:v>
                </c:pt>
                <c:pt idx="4">
                  <c:v>0.22436411976523701</c:v>
                </c:pt>
                <c:pt idx="5">
                  <c:v>0.23367483266123901</c:v>
                </c:pt>
                <c:pt idx="6">
                  <c:v>0.24741037439084401</c:v>
                </c:pt>
                <c:pt idx="7">
                  <c:v>0.26697634598290698</c:v>
                </c:pt>
                <c:pt idx="8">
                  <c:v>0.29292462407832598</c:v>
                </c:pt>
                <c:pt idx="9">
                  <c:v>0.30099999999999999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D6-4FEE-A6A0-31B7782E82C1}"/>
            </c:ext>
          </c:extLst>
        </c:ser>
        <c:ser>
          <c:idx val="2"/>
          <c:order val="2"/>
          <c:tx>
            <c:strRef>
              <c:f>cluster_without_gt!$B$22</c:f>
              <c:strCache>
                <c:ptCount val="1"/>
                <c:pt idx="0">
                  <c:v>CS_301_7 (23 elctrodes)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cluster_without_gt!$D$22:$D$31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cluster_without_gt!$E$22:$E$31</c:f>
              <c:numCache>
                <c:formatCode>0.000</c:formatCode>
                <c:ptCount val="10"/>
                <c:pt idx="0">
                  <c:v>0.108555885773802</c:v>
                </c:pt>
                <c:pt idx="1">
                  <c:v>9.8634608214846903E-2</c:v>
                </c:pt>
                <c:pt idx="2">
                  <c:v>9.12907582546989E-2</c:v>
                </c:pt>
                <c:pt idx="3">
                  <c:v>8.6524723288258096E-2</c:v>
                </c:pt>
                <c:pt idx="4">
                  <c:v>8.4428117524543905E-2</c:v>
                </c:pt>
                <c:pt idx="5">
                  <c:v>8.3388534139445997E-2</c:v>
                </c:pt>
                <c:pt idx="6">
                  <c:v>8.7042729925813994E-2</c:v>
                </c:pt>
                <c:pt idx="7">
                  <c:v>9.21198921154191E-2</c:v>
                </c:pt>
                <c:pt idx="8">
                  <c:v>9.9769548548391401E-2</c:v>
                </c:pt>
                <c:pt idx="9">
                  <c:v>0.10990094706051599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D6-4FEE-A6A0-31B7782E82C1}"/>
            </c:ext>
          </c:extLst>
        </c:ser>
        <c:ser>
          <c:idx val="3"/>
          <c:order val="3"/>
          <c:tx>
            <c:strRef>
              <c:f>cluster_without_gt!$B$32</c:f>
              <c:strCache>
                <c:ptCount val="1"/>
                <c:pt idx="0">
                  <c:v>CS_301_8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cluster_without_gt!$D$32:$D$41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cluster_without_gt!$E$32:$E$41</c:f>
              <c:numCache>
                <c:formatCode>0.000</c:formatCode>
                <c:ptCount val="10"/>
                <c:pt idx="0">
                  <c:v>9.1784410791082793E-2</c:v>
                </c:pt>
                <c:pt idx="1">
                  <c:v>8.5070877336910197E-2</c:v>
                </c:pt>
                <c:pt idx="2">
                  <c:v>8.08433870168834E-2</c:v>
                </c:pt>
                <c:pt idx="3">
                  <c:v>7.9102157921646599E-2</c:v>
                </c:pt>
                <c:pt idx="4">
                  <c:v>7.9847097809047501E-2</c:v>
                </c:pt>
                <c:pt idx="5">
                  <c:v>8.3078190637318999E-2</c:v>
                </c:pt>
                <c:pt idx="6">
                  <c:v>8.8795419590675106E-2</c:v>
                </c:pt>
                <c:pt idx="7">
                  <c:v>9.6998937949272002E-2</c:v>
                </c:pt>
                <c:pt idx="8">
                  <c:v>0.107688511075029</c:v>
                </c:pt>
                <c:pt idx="9">
                  <c:v>0.120864439067163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D6-4FEE-A6A0-31B7782E82C1}"/>
            </c:ext>
          </c:extLst>
        </c:ser>
        <c:ser>
          <c:idx val="4"/>
          <c:order val="4"/>
          <c:tx>
            <c:strRef>
              <c:f>cluster_without_gt!$B$42</c:f>
              <c:strCache>
                <c:ptCount val="1"/>
                <c:pt idx="0">
                  <c:v>CS_301_RED_7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cluster_without_gt!$D$42:$D$51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cluster_without_gt!$E$42:$E$51</c:f>
              <c:numCache>
                <c:formatCode>0.000</c:formatCode>
                <c:ptCount val="10"/>
                <c:pt idx="0">
                  <c:v>8.3579506145603499E-2</c:v>
                </c:pt>
                <c:pt idx="1">
                  <c:v>7.9624874705246304E-2</c:v>
                </c:pt>
                <c:pt idx="2">
                  <c:v>7.7995056822209904E-2</c:v>
                </c:pt>
                <c:pt idx="3">
                  <c:v>7.8654544664583506E-2</c:v>
                </c:pt>
                <c:pt idx="4">
                  <c:v>8.1558958724039607E-2</c:v>
                </c:pt>
                <c:pt idx="5">
                  <c:v>8.67995511178523E-2</c:v>
                </c:pt>
                <c:pt idx="6">
                  <c:v>9.4353493542190303E-2</c:v>
                </c:pt>
                <c:pt idx="7">
                  <c:v>0.10405157963412499</c:v>
                </c:pt>
                <c:pt idx="8">
                  <c:v>0.115763262480788</c:v>
                </c:pt>
                <c:pt idx="9">
                  <c:v>0.12967546313176301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D6-4FEE-A6A0-31B7782E82C1}"/>
            </c:ext>
          </c:extLst>
        </c:ser>
        <c:ser>
          <c:idx val="5"/>
          <c:order val="5"/>
          <c:tx>
            <c:strRef>
              <c:f>cluster_without_gt!$B$52</c:f>
              <c:strCache>
                <c:ptCount val="1"/>
                <c:pt idx="0">
                  <c:v>CS_301_RED_8 (23 electrodes)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cluster_without_gt!$D$52:$D$61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cluster_without_gt!$E$52:$E$61</c:f>
              <c:numCache>
                <c:formatCode>0.000</c:formatCode>
                <c:ptCount val="10"/>
                <c:pt idx="0">
                  <c:v>9.6843909839325601E-2</c:v>
                </c:pt>
                <c:pt idx="1">
                  <c:v>9.0395418700083593E-2</c:v>
                </c:pt>
                <c:pt idx="2">
                  <c:v>8.6295764530462796E-2</c:v>
                </c:pt>
                <c:pt idx="3">
                  <c:v>8.4411674878107398E-2</c:v>
                </c:pt>
                <c:pt idx="4">
                  <c:v>8.4941329892356601E-2</c:v>
                </c:pt>
                <c:pt idx="5">
                  <c:v>0.09</c:v>
                </c:pt>
                <c:pt idx="6">
                  <c:v>0.105712112961419</c:v>
                </c:pt>
                <c:pt idx="7">
                  <c:v>0.116999562115206</c:v>
                </c:pt>
                <c:pt idx="8">
                  <c:v>0.126</c:v>
                </c:pt>
                <c:pt idx="9">
                  <c:v>0.13400000000000001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D6-4FEE-A6A0-31B7782E8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72800"/>
        <c:axId val="1988603104"/>
      </c:scatterChart>
      <c:valAx>
        <c:axId val="298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baseline="0">
                    <a:effectLst/>
                  </a:rPr>
                  <a:t>Depth offset  </a:t>
                </a:r>
                <a:r>
                  <a:rPr lang="el-GR" sz="1600" b="0" i="0" baseline="0">
                    <a:effectLst/>
                  </a:rPr>
                  <a:t>β</a:t>
                </a:r>
                <a:r>
                  <a:rPr lang="en-US" sz="1600" b="0" i="0" baseline="0">
                    <a:effectLst/>
                  </a:rPr>
                  <a:t> (mm)</a:t>
                </a:r>
                <a:endParaRPr lang="en-US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03104"/>
        <c:crosses val="autoZero"/>
        <c:crossBetween val="midCat"/>
      </c:valAx>
      <c:valAx>
        <c:axId val="19886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Inertia</a:t>
                </a:r>
                <a:r>
                  <a:rPr lang="en-US" sz="1600" baseline="0"/>
                  <a:t> m^2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cluster_without_gt!$B$63</c:f>
              <c:strCache>
                <c:ptCount val="1"/>
                <c:pt idx="0">
                  <c:v>CA_124_7 (23 elctrodes)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cluster_without_gt!$D$63:$D$72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cluster_without_gt!$E$63:$E$72</c:f>
              <c:numCache>
                <c:formatCode>General</c:formatCode>
                <c:ptCount val="10"/>
                <c:pt idx="0">
                  <c:v>0.22765857025399799</c:v>
                </c:pt>
                <c:pt idx="1">
                  <c:v>0.22565857025399799</c:v>
                </c:pt>
                <c:pt idx="2">
                  <c:v>0.221763264940598</c:v>
                </c:pt>
                <c:pt idx="3">
                  <c:v>0.21768405057333701</c:v>
                </c:pt>
                <c:pt idx="4">
                  <c:v>0.20790348557256799</c:v>
                </c:pt>
                <c:pt idx="5">
                  <c:v>0.206886082566274</c:v>
                </c:pt>
                <c:pt idx="6">
                  <c:v>0.205886082566274</c:v>
                </c:pt>
                <c:pt idx="7">
                  <c:v>0.2</c:v>
                </c:pt>
                <c:pt idx="8">
                  <c:v>0.20890348557256799</c:v>
                </c:pt>
                <c:pt idx="9">
                  <c:v>0.21768405057333701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A-420A-8C18-4184D7E7EF9D}"/>
            </c:ext>
          </c:extLst>
        </c:ser>
        <c:ser>
          <c:idx val="1"/>
          <c:order val="1"/>
          <c:tx>
            <c:strRef>
              <c:f>cluster_without_gt!$B$73</c:f>
              <c:strCache>
                <c:ptCount val="1"/>
                <c:pt idx="0">
                  <c:v>CA_124_8 (23 elctrodes)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cluster_without_gt!$D$73:$D$82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cluster_without_gt!$E$73:$E$82</c:f>
              <c:numCache>
                <c:formatCode>General</c:formatCode>
                <c:ptCount val="10"/>
                <c:pt idx="0">
                  <c:v>0.23476585702539901</c:v>
                </c:pt>
                <c:pt idx="1">
                  <c:v>0.232658570253998</c:v>
                </c:pt>
                <c:pt idx="2">
                  <c:v>0.230176326494059</c:v>
                </c:pt>
                <c:pt idx="3">
                  <c:v>0.22143768405057301</c:v>
                </c:pt>
                <c:pt idx="4">
                  <c:v>0.21479034855725601</c:v>
                </c:pt>
                <c:pt idx="5">
                  <c:v>0.212688608256627</c:v>
                </c:pt>
                <c:pt idx="6">
                  <c:v>0.21</c:v>
                </c:pt>
                <c:pt idx="7">
                  <c:v>0.21258860825662701</c:v>
                </c:pt>
                <c:pt idx="8">
                  <c:v>0.218903485572568</c:v>
                </c:pt>
                <c:pt idx="9">
                  <c:v>0.22768405057333699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A-420A-8C18-4184D7E7EF9D}"/>
            </c:ext>
          </c:extLst>
        </c:ser>
        <c:ser>
          <c:idx val="2"/>
          <c:order val="2"/>
          <c:tx>
            <c:strRef>
              <c:f>cluster_without_gt!$B$83</c:f>
              <c:strCache>
                <c:ptCount val="1"/>
                <c:pt idx="0">
                  <c:v>CS_301_7 (23 elctrodes)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cluster_without_gt!$D$83:$D$92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cluster_without_gt!$E$83:$E$92</c:f>
              <c:numCache>
                <c:formatCode>General</c:formatCode>
                <c:ptCount val="10"/>
                <c:pt idx="0">
                  <c:v>0.11743648053583999</c:v>
                </c:pt>
                <c:pt idx="1">
                  <c:v>0.11582271279788001</c:v>
                </c:pt>
                <c:pt idx="2">
                  <c:v>0.112335184732248</c:v>
                </c:pt>
                <c:pt idx="3">
                  <c:v>0.11093957280430999</c:v>
                </c:pt>
                <c:pt idx="4">
                  <c:v>0.107397890909167</c:v>
                </c:pt>
                <c:pt idx="5">
                  <c:v>0.105581143655246</c:v>
                </c:pt>
                <c:pt idx="6">
                  <c:v>0.102297603493557</c:v>
                </c:pt>
                <c:pt idx="7">
                  <c:v>0.100189728153289</c:v>
                </c:pt>
                <c:pt idx="8">
                  <c:v>0.10256</c:v>
                </c:pt>
                <c:pt idx="9">
                  <c:v>0.103397890909167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1A-420A-8C18-4184D7E7EF9D}"/>
            </c:ext>
          </c:extLst>
        </c:ser>
        <c:ser>
          <c:idx val="3"/>
          <c:order val="3"/>
          <c:tx>
            <c:strRef>
              <c:f>cluster_without_gt!$B$93</c:f>
              <c:strCache>
                <c:ptCount val="1"/>
                <c:pt idx="0">
                  <c:v>CS_301_8 (23 elctrodes)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cluster_without_gt!$D$93:$D$102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cluster_without_gt!$E$93:$E$102</c:f>
              <c:numCache>
                <c:formatCode>General</c:formatCode>
                <c:ptCount val="10"/>
                <c:pt idx="0">
                  <c:v>0.13043648053584</c:v>
                </c:pt>
                <c:pt idx="1">
                  <c:v>0.12482271279788</c:v>
                </c:pt>
                <c:pt idx="2">
                  <c:v>0.12435184732248</c:v>
                </c:pt>
                <c:pt idx="3">
                  <c:v>0.12293957280431</c:v>
                </c:pt>
                <c:pt idx="4">
                  <c:v>0.118397890909167</c:v>
                </c:pt>
                <c:pt idx="5">
                  <c:v>0.11</c:v>
                </c:pt>
                <c:pt idx="6">
                  <c:v>0.113297603493557</c:v>
                </c:pt>
                <c:pt idx="7">
                  <c:v>0.11018972815328899</c:v>
                </c:pt>
                <c:pt idx="8">
                  <c:v>0.1206</c:v>
                </c:pt>
                <c:pt idx="9">
                  <c:v>0.122397890909167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1A-420A-8C18-4184D7E7EF9D}"/>
            </c:ext>
          </c:extLst>
        </c:ser>
        <c:ser>
          <c:idx val="4"/>
          <c:order val="4"/>
          <c:tx>
            <c:strRef>
              <c:f>cluster_without_gt!$B$103</c:f>
              <c:strCache>
                <c:ptCount val="1"/>
                <c:pt idx="0">
                  <c:v>CS_301_RED_13 (23 elctrodes)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cluster_without_gt!$D$103:$D$112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cluster_without_gt!$E$103:$E$112</c:f>
              <c:numCache>
                <c:formatCode>General</c:formatCode>
                <c:ptCount val="10"/>
                <c:pt idx="0">
                  <c:v>9.8722412403840207E-2</c:v>
                </c:pt>
                <c:pt idx="1">
                  <c:v>9.3721959131114599E-2</c:v>
                </c:pt>
                <c:pt idx="2">
                  <c:v>9.17462796155573E-2</c:v>
                </c:pt>
                <c:pt idx="3">
                  <c:v>8.4731739910139395E-2</c:v>
                </c:pt>
                <c:pt idx="4">
                  <c:v>8.1992888840347E-2</c:v>
                </c:pt>
                <c:pt idx="5">
                  <c:v>8.0741046355792406E-2</c:v>
                </c:pt>
                <c:pt idx="6">
                  <c:v>7.5999999999999998E-2</c:v>
                </c:pt>
                <c:pt idx="7">
                  <c:v>8.1741046355792393E-2</c:v>
                </c:pt>
                <c:pt idx="8">
                  <c:v>8.2992888840347001E-2</c:v>
                </c:pt>
                <c:pt idx="9">
                  <c:v>9.17462796155573E-2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1A-420A-8C18-4184D7E7EF9D}"/>
            </c:ext>
          </c:extLst>
        </c:ser>
        <c:ser>
          <c:idx val="5"/>
          <c:order val="5"/>
          <c:tx>
            <c:strRef>
              <c:f>cluster_without_gt!$B$113</c:f>
              <c:strCache>
                <c:ptCount val="1"/>
                <c:pt idx="0">
                  <c:v>CS_301_RED_14 (23 elctrodes)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cluster_without_gt!$D$113:$D$122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cluster_without_gt!$E$113:$E$122</c:f>
              <c:numCache>
                <c:formatCode>General</c:formatCode>
                <c:ptCount val="10"/>
                <c:pt idx="0">
                  <c:v>0.117224124038402</c:v>
                </c:pt>
                <c:pt idx="1">
                  <c:v>0.117219591311146</c:v>
                </c:pt>
                <c:pt idx="2">
                  <c:v>0.107462796155573</c:v>
                </c:pt>
                <c:pt idx="3">
                  <c:v>9.4731739910139404E-2</c:v>
                </c:pt>
                <c:pt idx="4">
                  <c:v>9.1992888840346995E-2</c:v>
                </c:pt>
                <c:pt idx="5">
                  <c:v>9.0741046355792401E-2</c:v>
                </c:pt>
                <c:pt idx="6">
                  <c:v>8.7999999999999995E-2</c:v>
                </c:pt>
                <c:pt idx="7">
                  <c:v>8.1000000000000003E-2</c:v>
                </c:pt>
                <c:pt idx="8">
                  <c:v>9.1741046355792402E-2</c:v>
                </c:pt>
                <c:pt idx="9">
                  <c:v>0.107462796155573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1A-420A-8C18-4184D7E7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144208"/>
        <c:axId val="1441754336"/>
      </c:scatterChart>
      <c:valAx>
        <c:axId val="14461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Depth offset  </a:t>
                </a:r>
                <a:r>
                  <a:rPr lang="el-GR" sz="1800" b="0" i="0" baseline="0">
                    <a:effectLst/>
                  </a:rPr>
                  <a:t>β</a:t>
                </a:r>
                <a:r>
                  <a:rPr lang="en-US" sz="1800" b="0" i="0" baseline="0">
                    <a:effectLst/>
                  </a:rPr>
                  <a:t> (mm)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0.27965119661766419"/>
              <c:y val="0.86004386006371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54336"/>
        <c:crosses val="autoZero"/>
        <c:crossBetween val="midCat"/>
      </c:valAx>
      <c:valAx>
        <c:axId val="14417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Inertia m^2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4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Depth offset vs mean RMSE post ICP registration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hand_trajectory!$A$2</c:f>
              <c:strCache>
                <c:ptCount val="1"/>
                <c:pt idx="0">
                  <c:v>CA_124_6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hand_trajectory!$B$2:$B$12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hand_trajectory!$C$2:$C$12</c:f>
              <c:numCache>
                <c:formatCode>General</c:formatCode>
                <c:ptCount val="11"/>
                <c:pt idx="0">
                  <c:v>16.22</c:v>
                </c:pt>
                <c:pt idx="1">
                  <c:v>15.85</c:v>
                </c:pt>
                <c:pt idx="2">
                  <c:v>15.34</c:v>
                </c:pt>
                <c:pt idx="3">
                  <c:v>15.12</c:v>
                </c:pt>
                <c:pt idx="4">
                  <c:v>14.9</c:v>
                </c:pt>
                <c:pt idx="5">
                  <c:v>14.58</c:v>
                </c:pt>
                <c:pt idx="6">
                  <c:v>14.04</c:v>
                </c:pt>
                <c:pt idx="7">
                  <c:v>14.82</c:v>
                </c:pt>
                <c:pt idx="8">
                  <c:v>15.28</c:v>
                </c:pt>
                <c:pt idx="9">
                  <c:v>15.74</c:v>
                </c:pt>
                <c:pt idx="10">
                  <c:v>16.18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B-422A-A4F2-8D591E01471A}"/>
            </c:ext>
          </c:extLst>
        </c:ser>
        <c:ser>
          <c:idx val="1"/>
          <c:order val="1"/>
          <c:tx>
            <c:strRef>
              <c:f>hand_trajectory!$A$13</c:f>
              <c:strCache>
                <c:ptCount val="1"/>
                <c:pt idx="0">
                  <c:v>CA_124_7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hand_trajectory!$B$13:$B$23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hand_trajectory!$C$13:$C$23</c:f>
              <c:numCache>
                <c:formatCode>General</c:formatCode>
                <c:ptCount val="11"/>
                <c:pt idx="0">
                  <c:v>18.5</c:v>
                </c:pt>
                <c:pt idx="1">
                  <c:v>17.96</c:v>
                </c:pt>
                <c:pt idx="2">
                  <c:v>17.11</c:v>
                </c:pt>
                <c:pt idx="3">
                  <c:v>16.5</c:v>
                </c:pt>
                <c:pt idx="4">
                  <c:v>15.8</c:v>
                </c:pt>
                <c:pt idx="5">
                  <c:v>15.42</c:v>
                </c:pt>
                <c:pt idx="6">
                  <c:v>14.91</c:v>
                </c:pt>
                <c:pt idx="7">
                  <c:v>15.34</c:v>
                </c:pt>
                <c:pt idx="8">
                  <c:v>15.93</c:v>
                </c:pt>
                <c:pt idx="9">
                  <c:v>16.48</c:v>
                </c:pt>
                <c:pt idx="10">
                  <c:v>17.02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AB-422A-A4F2-8D591E01471A}"/>
            </c:ext>
          </c:extLst>
        </c:ser>
        <c:ser>
          <c:idx val="2"/>
          <c:order val="2"/>
          <c:tx>
            <c:strRef>
              <c:f>hand_trajectory!$A$24</c:f>
              <c:strCache>
                <c:ptCount val="1"/>
                <c:pt idx="0">
                  <c:v>CA_124_8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hand_trajectory!$B$24:$B$34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hand_trajectory!$C$24:$C$34</c:f>
              <c:numCache>
                <c:formatCode>General</c:formatCode>
                <c:ptCount val="11"/>
                <c:pt idx="0">
                  <c:v>23.16</c:v>
                </c:pt>
                <c:pt idx="1">
                  <c:v>22.85</c:v>
                </c:pt>
                <c:pt idx="2">
                  <c:v>22.66</c:v>
                </c:pt>
                <c:pt idx="3">
                  <c:v>22.43</c:v>
                </c:pt>
                <c:pt idx="4">
                  <c:v>22.08</c:v>
                </c:pt>
                <c:pt idx="5">
                  <c:v>21.39</c:v>
                </c:pt>
                <c:pt idx="6">
                  <c:v>21.53</c:v>
                </c:pt>
                <c:pt idx="7">
                  <c:v>21.83</c:v>
                </c:pt>
                <c:pt idx="8">
                  <c:v>21.91</c:v>
                </c:pt>
                <c:pt idx="9">
                  <c:v>22.32</c:v>
                </c:pt>
                <c:pt idx="10">
                  <c:v>22.75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AB-422A-A4F2-8D591E01471A}"/>
            </c:ext>
          </c:extLst>
        </c:ser>
        <c:ser>
          <c:idx val="3"/>
          <c:order val="3"/>
          <c:tx>
            <c:strRef>
              <c:f>hand_trajectory!$A$46</c:f>
              <c:strCache>
                <c:ptCount val="1"/>
                <c:pt idx="0">
                  <c:v>CS_301_7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hand_trajectory!$B$46:$B$56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hand_trajectory!$C$46:$C$56</c:f>
              <c:numCache>
                <c:formatCode>General</c:formatCode>
                <c:ptCount val="11"/>
                <c:pt idx="0">
                  <c:v>20.49</c:v>
                </c:pt>
                <c:pt idx="1">
                  <c:v>19.57</c:v>
                </c:pt>
                <c:pt idx="2">
                  <c:v>18.52</c:v>
                </c:pt>
                <c:pt idx="3">
                  <c:v>17.52</c:v>
                </c:pt>
                <c:pt idx="4">
                  <c:v>16.59</c:v>
                </c:pt>
                <c:pt idx="5">
                  <c:v>15</c:v>
                </c:pt>
                <c:pt idx="6">
                  <c:v>14.52</c:v>
                </c:pt>
                <c:pt idx="7">
                  <c:v>14.24</c:v>
                </c:pt>
                <c:pt idx="8">
                  <c:v>14.22</c:v>
                </c:pt>
                <c:pt idx="9">
                  <c:v>14.45</c:v>
                </c:pt>
                <c:pt idx="1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AB-422A-A4F2-8D591E01471A}"/>
            </c:ext>
          </c:extLst>
        </c:ser>
        <c:ser>
          <c:idx val="4"/>
          <c:order val="4"/>
          <c:tx>
            <c:strRef>
              <c:f>hand_trajectory!$A$57</c:f>
              <c:strCache>
                <c:ptCount val="1"/>
                <c:pt idx="0">
                  <c:v>CS_301_8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hand_trajectory!$B$57:$B$67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hand_trajectory!$C$57:$C$67</c:f>
              <c:numCache>
                <c:formatCode>General</c:formatCode>
                <c:ptCount val="11"/>
                <c:pt idx="0">
                  <c:v>25.36</c:v>
                </c:pt>
                <c:pt idx="1">
                  <c:v>25.19</c:v>
                </c:pt>
                <c:pt idx="2">
                  <c:v>24.9</c:v>
                </c:pt>
                <c:pt idx="3">
                  <c:v>23.97</c:v>
                </c:pt>
                <c:pt idx="4">
                  <c:v>23.88</c:v>
                </c:pt>
                <c:pt idx="5">
                  <c:v>23.73</c:v>
                </c:pt>
                <c:pt idx="6">
                  <c:v>23.4</c:v>
                </c:pt>
                <c:pt idx="7">
                  <c:v>23.51</c:v>
                </c:pt>
                <c:pt idx="8">
                  <c:v>23.62</c:v>
                </c:pt>
                <c:pt idx="9">
                  <c:v>23.73</c:v>
                </c:pt>
                <c:pt idx="10">
                  <c:v>23.87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AB-422A-A4F2-8D591E01471A}"/>
            </c:ext>
          </c:extLst>
        </c:ser>
        <c:ser>
          <c:idx val="5"/>
          <c:order val="5"/>
          <c:tx>
            <c:strRef>
              <c:f>hand_trajectory!$A$35</c:f>
              <c:strCache>
                <c:ptCount val="1"/>
                <c:pt idx="0">
                  <c:v>CS_301_6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hand_trajectory!$B$35:$B$45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hand_trajectory!$C$35:$C$45</c:f>
              <c:numCache>
                <c:formatCode>General</c:formatCode>
                <c:ptCount val="11"/>
                <c:pt idx="0">
                  <c:v>19.45</c:v>
                </c:pt>
                <c:pt idx="1">
                  <c:v>18.95</c:v>
                </c:pt>
                <c:pt idx="2">
                  <c:v>18.52</c:v>
                </c:pt>
                <c:pt idx="3">
                  <c:v>17.260000000000002</c:v>
                </c:pt>
                <c:pt idx="4">
                  <c:v>16.59</c:v>
                </c:pt>
                <c:pt idx="5">
                  <c:v>15.23</c:v>
                </c:pt>
                <c:pt idx="6">
                  <c:v>14.52</c:v>
                </c:pt>
                <c:pt idx="7">
                  <c:v>14.89</c:v>
                </c:pt>
                <c:pt idx="8">
                  <c:v>15.56</c:v>
                </c:pt>
                <c:pt idx="9">
                  <c:v>15.97</c:v>
                </c:pt>
                <c:pt idx="10">
                  <c:v>16.86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AB-422A-A4F2-8D591E014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435887"/>
        <c:axId val="307840463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hand_trajectory!$A$68</c15:sqref>
                        </c15:formulaRef>
                      </c:ext>
                    </c:extLst>
                    <c:strCache>
                      <c:ptCount val="1"/>
                      <c:pt idx="0">
                        <c:v>CS_301_RED_6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hand_trajectory!$B$68:$B$78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23</c:v>
                      </c:pt>
                      <c:pt idx="4">
                        <c:v>24</c:v>
                      </c:pt>
                      <c:pt idx="5">
                        <c:v>25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29</c:v>
                      </c:pt>
                      <c:pt idx="1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hand_trajectory!$C$68:$C$78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18.54</c:v>
                      </c:pt>
                      <c:pt idx="1">
                        <c:v>17.98</c:v>
                      </c:pt>
                      <c:pt idx="2">
                        <c:v>17.649999999999999</c:v>
                      </c:pt>
                      <c:pt idx="3">
                        <c:v>17.13</c:v>
                      </c:pt>
                      <c:pt idx="4">
                        <c:v>16.45</c:v>
                      </c:pt>
                      <c:pt idx="5">
                        <c:v>15.36</c:v>
                      </c:pt>
                      <c:pt idx="6">
                        <c:v>14.69</c:v>
                      </c:pt>
                      <c:pt idx="7">
                        <c:v>14.95</c:v>
                      </c:pt>
                      <c:pt idx="8">
                        <c:v>15.65</c:v>
                      </c:pt>
                      <c:pt idx="9">
                        <c:v>16.23</c:v>
                      </c:pt>
                      <c:pt idx="10">
                        <c:v>16.86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2AB-422A-A4F2-8D591E01471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hand_trajectory!$A$79</c15:sqref>
                        </c15:formulaRef>
                      </c:ext>
                    </c:extLst>
                    <c:strCache>
                      <c:ptCount val="1"/>
                      <c:pt idx="0">
                        <c:v>CS_301_RED_7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hand_trajectory!$B$79:$B$89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23</c:v>
                      </c:pt>
                      <c:pt idx="4">
                        <c:v>24</c:v>
                      </c:pt>
                      <c:pt idx="5">
                        <c:v>25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29</c:v>
                      </c:pt>
                      <c:pt idx="1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hand_trajectory!$C$79:$C$89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19.86</c:v>
                      </c:pt>
                      <c:pt idx="1">
                        <c:v>19.23</c:v>
                      </c:pt>
                      <c:pt idx="2">
                        <c:v>18.52</c:v>
                      </c:pt>
                      <c:pt idx="3">
                        <c:v>17.760000000000002</c:v>
                      </c:pt>
                      <c:pt idx="4">
                        <c:v>16.64</c:v>
                      </c:pt>
                      <c:pt idx="5">
                        <c:v>15.26</c:v>
                      </c:pt>
                      <c:pt idx="6">
                        <c:v>15.56</c:v>
                      </c:pt>
                      <c:pt idx="7">
                        <c:v>16.02</c:v>
                      </c:pt>
                      <c:pt idx="8">
                        <c:v>16.86</c:v>
                      </c:pt>
                      <c:pt idx="9">
                        <c:v>17.16</c:v>
                      </c:pt>
                      <c:pt idx="10">
                        <c:v>17.690000000000001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2AB-422A-A4F2-8D591E01471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hand_trajectory!$A$90</c15:sqref>
                        </c15:formulaRef>
                      </c:ext>
                    </c:extLst>
                    <c:strCache>
                      <c:ptCount val="1"/>
                      <c:pt idx="0">
                        <c:v>CS_301_RED_8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hand_trajectory!$B$90:$B$100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23</c:v>
                      </c:pt>
                      <c:pt idx="4">
                        <c:v>24</c:v>
                      </c:pt>
                      <c:pt idx="5">
                        <c:v>25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29</c:v>
                      </c:pt>
                      <c:pt idx="1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hand_trajectory!$C$90:$C$100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24.81</c:v>
                      </c:pt>
                      <c:pt idx="1">
                        <c:v>24.36</c:v>
                      </c:pt>
                      <c:pt idx="2">
                        <c:v>23.67</c:v>
                      </c:pt>
                      <c:pt idx="3">
                        <c:v>23.16</c:v>
                      </c:pt>
                      <c:pt idx="4">
                        <c:v>22.69</c:v>
                      </c:pt>
                      <c:pt idx="5">
                        <c:v>22.06</c:v>
                      </c:pt>
                      <c:pt idx="6">
                        <c:v>23.49</c:v>
                      </c:pt>
                      <c:pt idx="7">
                        <c:v>23.91</c:v>
                      </c:pt>
                      <c:pt idx="8">
                        <c:v>24.24</c:v>
                      </c:pt>
                      <c:pt idx="9">
                        <c:v>24.98</c:v>
                      </c:pt>
                      <c:pt idx="10">
                        <c:v>25.26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2AB-422A-A4F2-8D591E01471A}"/>
                  </c:ext>
                </c:extLst>
              </c15:ser>
            </c15:filteredScatterSeries>
          </c:ext>
        </c:extLst>
      </c:scatterChart>
      <c:valAx>
        <c:axId val="30943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offset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40463"/>
        <c:crosses val="autoZero"/>
        <c:crossBetween val="midCat"/>
      </c:valAx>
      <c:valAx>
        <c:axId val="30784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MSE (mm)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43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hand_trajectory_backup!$A$2</c:f>
              <c:strCache>
                <c:ptCount val="1"/>
                <c:pt idx="0">
                  <c:v>CA_124_6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hand_trajectory_backup!$B$2:$B$12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hand_trajectory_backup!$C$2:$C$12</c:f>
              <c:numCache>
                <c:formatCode>General</c:formatCode>
                <c:ptCount val="11"/>
                <c:pt idx="0">
                  <c:v>16.22</c:v>
                </c:pt>
                <c:pt idx="1">
                  <c:v>15.85</c:v>
                </c:pt>
                <c:pt idx="2">
                  <c:v>15.34</c:v>
                </c:pt>
                <c:pt idx="3">
                  <c:v>15.12</c:v>
                </c:pt>
                <c:pt idx="4">
                  <c:v>14.9</c:v>
                </c:pt>
                <c:pt idx="5">
                  <c:v>14.58</c:v>
                </c:pt>
                <c:pt idx="6">
                  <c:v>14.04</c:v>
                </c:pt>
                <c:pt idx="7">
                  <c:v>14.82</c:v>
                </c:pt>
                <c:pt idx="8">
                  <c:v>15.28</c:v>
                </c:pt>
                <c:pt idx="9">
                  <c:v>15.74</c:v>
                </c:pt>
                <c:pt idx="10">
                  <c:v>16.18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BA-49B6-B3E9-84194D6A4EB5}"/>
            </c:ext>
          </c:extLst>
        </c:ser>
        <c:ser>
          <c:idx val="1"/>
          <c:order val="1"/>
          <c:tx>
            <c:strRef>
              <c:f>hand_trajectory_backup!$A$13</c:f>
              <c:strCache>
                <c:ptCount val="1"/>
                <c:pt idx="0">
                  <c:v>CA_124_7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hand_trajectory_backup!$B$13:$B$23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hand_trajectory_backup!$C$13:$C$23</c:f>
              <c:numCache>
                <c:formatCode>General</c:formatCode>
                <c:ptCount val="11"/>
                <c:pt idx="0">
                  <c:v>18.5</c:v>
                </c:pt>
                <c:pt idx="1">
                  <c:v>17.96</c:v>
                </c:pt>
                <c:pt idx="2">
                  <c:v>17.11</c:v>
                </c:pt>
                <c:pt idx="3">
                  <c:v>16.5</c:v>
                </c:pt>
                <c:pt idx="4">
                  <c:v>15.8</c:v>
                </c:pt>
                <c:pt idx="5">
                  <c:v>15.42</c:v>
                </c:pt>
                <c:pt idx="6">
                  <c:v>14.91</c:v>
                </c:pt>
                <c:pt idx="7">
                  <c:v>15.34</c:v>
                </c:pt>
                <c:pt idx="8">
                  <c:v>15.93</c:v>
                </c:pt>
                <c:pt idx="9">
                  <c:v>16.48</c:v>
                </c:pt>
                <c:pt idx="10">
                  <c:v>17.02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BA-49B6-B3E9-84194D6A4EB5}"/>
            </c:ext>
          </c:extLst>
        </c:ser>
        <c:ser>
          <c:idx val="2"/>
          <c:order val="2"/>
          <c:tx>
            <c:strRef>
              <c:f>hand_trajectory_backup!$A$24</c:f>
              <c:strCache>
                <c:ptCount val="1"/>
                <c:pt idx="0">
                  <c:v>CA_124_8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hand_trajectory_backup!$B$24:$B$34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hand_trajectory_backup!$C$24:$C$34</c:f>
              <c:numCache>
                <c:formatCode>General</c:formatCode>
                <c:ptCount val="11"/>
                <c:pt idx="0">
                  <c:v>23.16</c:v>
                </c:pt>
                <c:pt idx="1">
                  <c:v>22.85</c:v>
                </c:pt>
                <c:pt idx="2">
                  <c:v>22.66</c:v>
                </c:pt>
                <c:pt idx="3">
                  <c:v>22.43</c:v>
                </c:pt>
                <c:pt idx="4">
                  <c:v>22.08</c:v>
                </c:pt>
                <c:pt idx="5">
                  <c:v>21.39</c:v>
                </c:pt>
                <c:pt idx="6">
                  <c:v>21.53</c:v>
                </c:pt>
                <c:pt idx="7">
                  <c:v>21.83</c:v>
                </c:pt>
                <c:pt idx="8">
                  <c:v>21.91</c:v>
                </c:pt>
                <c:pt idx="9">
                  <c:v>22.32</c:v>
                </c:pt>
                <c:pt idx="10">
                  <c:v>22.75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BA-49B6-B3E9-84194D6A4EB5}"/>
            </c:ext>
          </c:extLst>
        </c:ser>
        <c:ser>
          <c:idx val="3"/>
          <c:order val="3"/>
          <c:tx>
            <c:strRef>
              <c:f>hand_trajectory_backup!$A$46</c:f>
              <c:strCache>
                <c:ptCount val="1"/>
                <c:pt idx="0">
                  <c:v>CS_301_7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hand_trajectory_backup!$B$46:$B$56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hand_trajectory_backup!$C$46:$C$56</c:f>
              <c:numCache>
                <c:formatCode>General</c:formatCode>
                <c:ptCount val="11"/>
                <c:pt idx="0">
                  <c:v>20.49</c:v>
                </c:pt>
                <c:pt idx="1">
                  <c:v>19.57</c:v>
                </c:pt>
                <c:pt idx="2">
                  <c:v>18.52</c:v>
                </c:pt>
                <c:pt idx="3">
                  <c:v>17.52</c:v>
                </c:pt>
                <c:pt idx="4">
                  <c:v>16.59</c:v>
                </c:pt>
                <c:pt idx="5">
                  <c:v>15</c:v>
                </c:pt>
                <c:pt idx="6">
                  <c:v>14.52</c:v>
                </c:pt>
                <c:pt idx="7">
                  <c:v>14.24</c:v>
                </c:pt>
                <c:pt idx="8">
                  <c:v>14.22</c:v>
                </c:pt>
                <c:pt idx="9">
                  <c:v>14.45</c:v>
                </c:pt>
                <c:pt idx="1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BA-49B6-B3E9-84194D6A4EB5}"/>
            </c:ext>
          </c:extLst>
        </c:ser>
        <c:ser>
          <c:idx val="4"/>
          <c:order val="4"/>
          <c:tx>
            <c:strRef>
              <c:f>hand_trajectory_backup!$A$57</c:f>
              <c:strCache>
                <c:ptCount val="1"/>
                <c:pt idx="0">
                  <c:v>CS_301_8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hand_trajectory_backup!$B$57:$B$67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hand_trajectory_backup!$C$57:$C$67</c:f>
              <c:numCache>
                <c:formatCode>General</c:formatCode>
                <c:ptCount val="11"/>
                <c:pt idx="0">
                  <c:v>25.36</c:v>
                </c:pt>
                <c:pt idx="1">
                  <c:v>25.19</c:v>
                </c:pt>
                <c:pt idx="2">
                  <c:v>24.9</c:v>
                </c:pt>
                <c:pt idx="3">
                  <c:v>23.97</c:v>
                </c:pt>
                <c:pt idx="4">
                  <c:v>23.88</c:v>
                </c:pt>
                <c:pt idx="5">
                  <c:v>23.73</c:v>
                </c:pt>
                <c:pt idx="6">
                  <c:v>23.4</c:v>
                </c:pt>
                <c:pt idx="7">
                  <c:v>23.51</c:v>
                </c:pt>
                <c:pt idx="8">
                  <c:v>23.62</c:v>
                </c:pt>
                <c:pt idx="9">
                  <c:v>23.73</c:v>
                </c:pt>
                <c:pt idx="10">
                  <c:v>23.87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BA-49B6-B3E9-84194D6A4EB5}"/>
            </c:ext>
          </c:extLst>
        </c:ser>
        <c:ser>
          <c:idx val="5"/>
          <c:order val="5"/>
          <c:tx>
            <c:strRef>
              <c:f>hand_trajectory_backup!$A$35</c:f>
              <c:strCache>
                <c:ptCount val="1"/>
                <c:pt idx="0">
                  <c:v>CS_301_6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hand_trajectory_backup!$B$35:$B$45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hand_trajectory_backup!$C$35:$C$45</c:f>
              <c:numCache>
                <c:formatCode>General</c:formatCode>
                <c:ptCount val="11"/>
                <c:pt idx="0">
                  <c:v>19.45</c:v>
                </c:pt>
                <c:pt idx="1">
                  <c:v>18.95</c:v>
                </c:pt>
                <c:pt idx="2">
                  <c:v>18.52</c:v>
                </c:pt>
                <c:pt idx="3">
                  <c:v>17.260000000000002</c:v>
                </c:pt>
                <c:pt idx="4">
                  <c:v>16.59</c:v>
                </c:pt>
                <c:pt idx="5">
                  <c:v>15.23</c:v>
                </c:pt>
                <c:pt idx="6">
                  <c:v>14.52</c:v>
                </c:pt>
                <c:pt idx="7">
                  <c:v>14.89</c:v>
                </c:pt>
                <c:pt idx="8">
                  <c:v>15.56</c:v>
                </c:pt>
                <c:pt idx="9">
                  <c:v>15.97</c:v>
                </c:pt>
                <c:pt idx="10">
                  <c:v>16.86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BA-49B6-B3E9-84194D6A4EB5}"/>
            </c:ext>
          </c:extLst>
        </c:ser>
        <c:ser>
          <c:idx val="6"/>
          <c:order val="6"/>
          <c:tx>
            <c:strRef>
              <c:f>hand_trajectory_backup!$A$68</c:f>
              <c:strCache>
                <c:ptCount val="1"/>
                <c:pt idx="0">
                  <c:v>CS_301_RED_6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hand_trajectory_backup!$B$68:$B$78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hand_trajectory_backup!$C$68:$C$78</c:f>
              <c:numCache>
                <c:formatCode>General</c:formatCode>
                <c:ptCount val="11"/>
                <c:pt idx="0">
                  <c:v>18.54</c:v>
                </c:pt>
                <c:pt idx="1">
                  <c:v>17.98</c:v>
                </c:pt>
                <c:pt idx="2">
                  <c:v>17.649999999999999</c:v>
                </c:pt>
                <c:pt idx="3">
                  <c:v>17.13</c:v>
                </c:pt>
                <c:pt idx="4">
                  <c:v>16.45</c:v>
                </c:pt>
                <c:pt idx="5">
                  <c:v>15.36</c:v>
                </c:pt>
                <c:pt idx="6">
                  <c:v>14.69</c:v>
                </c:pt>
                <c:pt idx="7">
                  <c:v>14.95</c:v>
                </c:pt>
                <c:pt idx="8">
                  <c:v>15.65</c:v>
                </c:pt>
                <c:pt idx="9">
                  <c:v>16.23</c:v>
                </c:pt>
                <c:pt idx="10">
                  <c:v>16.86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8BA-49B6-B3E9-84194D6A4EB5}"/>
            </c:ext>
          </c:extLst>
        </c:ser>
        <c:ser>
          <c:idx val="7"/>
          <c:order val="7"/>
          <c:tx>
            <c:strRef>
              <c:f>hand_trajectory_backup!$A$79</c:f>
              <c:strCache>
                <c:ptCount val="1"/>
                <c:pt idx="0">
                  <c:v>CS_301_RED_7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hand_trajectory_backup!$B$79:$B$89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hand_trajectory_backup!$C$79:$C$89</c:f>
              <c:numCache>
                <c:formatCode>General</c:formatCode>
                <c:ptCount val="11"/>
                <c:pt idx="0">
                  <c:v>19.86</c:v>
                </c:pt>
                <c:pt idx="1">
                  <c:v>19.23</c:v>
                </c:pt>
                <c:pt idx="2">
                  <c:v>18.52</c:v>
                </c:pt>
                <c:pt idx="3">
                  <c:v>17.760000000000002</c:v>
                </c:pt>
                <c:pt idx="4">
                  <c:v>16.64</c:v>
                </c:pt>
                <c:pt idx="5">
                  <c:v>15.26</c:v>
                </c:pt>
                <c:pt idx="6">
                  <c:v>15.56</c:v>
                </c:pt>
                <c:pt idx="7">
                  <c:v>16.02</c:v>
                </c:pt>
                <c:pt idx="8">
                  <c:v>16.86</c:v>
                </c:pt>
                <c:pt idx="9">
                  <c:v>17.16</c:v>
                </c:pt>
                <c:pt idx="1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BA-49B6-B3E9-84194D6A4EB5}"/>
            </c:ext>
          </c:extLst>
        </c:ser>
        <c:ser>
          <c:idx val="8"/>
          <c:order val="8"/>
          <c:tx>
            <c:strRef>
              <c:f>hand_trajectory_backup!$A$90</c:f>
              <c:strCache>
                <c:ptCount val="1"/>
                <c:pt idx="0">
                  <c:v>CS_301_RED_8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hand_trajectory_backup!$B$90:$B$100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</c:numCache>
            </c:numRef>
          </c:xVal>
          <c:yVal>
            <c:numRef>
              <c:f>hand_trajectory_backup!$C$90:$C$100</c:f>
              <c:numCache>
                <c:formatCode>General</c:formatCode>
                <c:ptCount val="11"/>
                <c:pt idx="0">
                  <c:v>24.81</c:v>
                </c:pt>
                <c:pt idx="1">
                  <c:v>24.36</c:v>
                </c:pt>
                <c:pt idx="2">
                  <c:v>23.67</c:v>
                </c:pt>
                <c:pt idx="3">
                  <c:v>23.16</c:v>
                </c:pt>
                <c:pt idx="4">
                  <c:v>22.69</c:v>
                </c:pt>
                <c:pt idx="5">
                  <c:v>22.06</c:v>
                </c:pt>
                <c:pt idx="6">
                  <c:v>23.49</c:v>
                </c:pt>
                <c:pt idx="7">
                  <c:v>23.91</c:v>
                </c:pt>
                <c:pt idx="8">
                  <c:v>24.24</c:v>
                </c:pt>
                <c:pt idx="9">
                  <c:v>24.98</c:v>
                </c:pt>
                <c:pt idx="10">
                  <c:v>25.26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8BA-49B6-B3E9-84194D6A4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435887"/>
        <c:axId val="307840463"/>
      </c:scatterChart>
      <c:valAx>
        <c:axId val="30943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40463"/>
        <c:crosses val="autoZero"/>
        <c:crossBetween val="midCat"/>
      </c:valAx>
      <c:valAx>
        <c:axId val="30784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43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482600</xdr:colOff>
      <xdr:row>2</xdr:row>
      <xdr:rowOff>25400</xdr:rowOff>
    </xdr:from>
    <xdr:to>
      <xdr:col>28</xdr:col>
      <xdr:colOff>110067</xdr:colOff>
      <xdr:row>20</xdr:row>
      <xdr:rowOff>160867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FFD5F-0759-4BA1-8C24-2966F7A6E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465665</xdr:colOff>
      <xdr:row>21</xdr:row>
      <xdr:rowOff>59266</xdr:rowOff>
    </xdr:from>
    <xdr:to>
      <xdr:col>28</xdr:col>
      <xdr:colOff>110066</xdr:colOff>
      <xdr:row>37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C8B184-7D1D-4856-BC3D-2CE66337A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162261</xdr:colOff>
      <xdr:row>4</xdr:row>
      <xdr:rowOff>89648</xdr:rowOff>
    </xdr:from>
    <xdr:to>
      <xdr:col>24</xdr:col>
      <xdr:colOff>0</xdr:colOff>
      <xdr:row>26</xdr:row>
      <xdr:rowOff>143436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5CFBB-57C7-4CB7-9F00-3BBC35B6C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175260</xdr:colOff>
      <xdr:row>27</xdr:row>
      <xdr:rowOff>19050</xdr:rowOff>
    </xdr:from>
    <xdr:to>
      <xdr:col>23</xdr:col>
      <xdr:colOff>598714</xdr:colOff>
      <xdr:row>49</xdr:row>
      <xdr:rowOff>87086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A9A3CE-4468-41FB-83B0-806B58C3F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76199</xdr:colOff>
      <xdr:row>54</xdr:row>
      <xdr:rowOff>35858</xdr:rowOff>
    </xdr:from>
    <xdr:to>
      <xdr:col>19</xdr:col>
      <xdr:colOff>380999</xdr:colOff>
      <xdr:row>69</xdr:row>
      <xdr:rowOff>89646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4E1EA0-073A-4EF1-AA0E-FCA5A30D2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129988</xdr:colOff>
      <xdr:row>70</xdr:row>
      <xdr:rowOff>26894</xdr:rowOff>
    </xdr:from>
    <xdr:to>
      <xdr:col>19</xdr:col>
      <xdr:colOff>434788</xdr:colOff>
      <xdr:row>85</xdr:row>
      <xdr:rowOff>80682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0FF209-AE98-4C5B-A4D9-8CBFCAEA3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165847</xdr:colOff>
      <xdr:row>88</xdr:row>
      <xdr:rowOff>89647</xdr:rowOff>
    </xdr:from>
    <xdr:to>
      <xdr:col>19</xdr:col>
      <xdr:colOff>470647</xdr:colOff>
      <xdr:row>103</xdr:row>
      <xdr:rowOff>143435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FF3A23-B744-4386-B33E-5EAC272B5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2</xdr:row>
      <xdr:rowOff>133350</xdr:rowOff>
    </xdr:from>
    <xdr:to>
      <xdr:col>19</xdr:col>
      <xdr:colOff>76200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EBF5A1-F78B-4E96-97C1-2361AD69A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34</xdr:row>
      <xdr:rowOff>95250</xdr:rowOff>
    </xdr:from>
    <xdr:to>
      <xdr:col>18</xdr:col>
      <xdr:colOff>533400</xdr:colOff>
      <xdr:row>49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0C8BDF-4745-4641-A98F-B301BE112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243840</xdr:colOff>
      <xdr:row>50</xdr:row>
      <xdr:rowOff>64770</xdr:rowOff>
    </xdr:from>
    <xdr:to>
      <xdr:col>18</xdr:col>
      <xdr:colOff>548640</xdr:colOff>
      <xdr:row>65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E47DB-9C72-40E7-A628-9BA3D62C8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251460</xdr:colOff>
      <xdr:row>65</xdr:row>
      <xdr:rowOff>171450</xdr:rowOff>
    </xdr:from>
    <xdr:to>
      <xdr:col>18</xdr:col>
      <xdr:colOff>556260</xdr:colOff>
      <xdr:row>80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E30CBF-7F03-47BD-8399-5FD38360D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266700</xdr:colOff>
      <xdr:row>81</xdr:row>
      <xdr:rowOff>156210</xdr:rowOff>
    </xdr:from>
    <xdr:to>
      <xdr:col>18</xdr:col>
      <xdr:colOff>571500</xdr:colOff>
      <xdr:row>96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111087-5DC9-449B-90AA-A5E8DCB7F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3</xdr:row>
      <xdr:rowOff>41910</xdr:rowOff>
    </xdr:from>
    <xdr:to>
      <xdr:col>18</xdr:col>
      <xdr:colOff>381000</xdr:colOff>
      <xdr:row>18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1C03D-B5DA-4C23-8712-59C52C70F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50</xdr:row>
      <xdr:rowOff>95250</xdr:rowOff>
    </xdr:from>
    <xdr:to>
      <xdr:col>18</xdr:col>
      <xdr:colOff>381000</xdr:colOff>
      <xdr:row>65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89CE79-1E3C-4AEF-AD8E-A31C8C90E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68580</xdr:colOff>
      <xdr:row>66</xdr:row>
      <xdr:rowOff>19050</xdr:rowOff>
    </xdr:from>
    <xdr:to>
      <xdr:col>18</xdr:col>
      <xdr:colOff>373380</xdr:colOff>
      <xdr:row>81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17B868-F1AC-4796-A4AA-664742509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91440</xdr:colOff>
      <xdr:row>19</xdr:row>
      <xdr:rowOff>49530</xdr:rowOff>
    </xdr:from>
    <xdr:to>
      <xdr:col>18</xdr:col>
      <xdr:colOff>396240</xdr:colOff>
      <xdr:row>34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972AB2-F9E1-4BA4-9C0E-E69E28849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76200</xdr:colOff>
      <xdr:row>35</xdr:row>
      <xdr:rowOff>26670</xdr:rowOff>
    </xdr:from>
    <xdr:to>
      <xdr:col>18</xdr:col>
      <xdr:colOff>381000</xdr:colOff>
      <xdr:row>50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919990-1606-43DC-BA63-4CC4B2902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2</xdr:row>
      <xdr:rowOff>80010</xdr:rowOff>
    </xdr:from>
    <xdr:to>
      <xdr:col>17</xdr:col>
      <xdr:colOff>213360</xdr:colOff>
      <xdr:row>23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2262D5-A91B-415A-85F6-BDFBBCB7A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</xdr:row>
      <xdr:rowOff>179070</xdr:rowOff>
    </xdr:from>
    <xdr:to>
      <xdr:col>18</xdr:col>
      <xdr:colOff>297180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F91CA-DF3A-476A-B7AD-0A3055410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62</xdr:row>
      <xdr:rowOff>19050</xdr:rowOff>
    </xdr:from>
    <xdr:to>
      <xdr:col>18</xdr:col>
      <xdr:colOff>99060</xdr:colOff>
      <xdr:row>79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F75D0-8598-4413-9EC0-1875A1296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45</xdr:row>
      <xdr:rowOff>179070</xdr:rowOff>
    </xdr:from>
    <xdr:to>
      <xdr:col>16</xdr:col>
      <xdr:colOff>571500</xdr:colOff>
      <xdr:row>64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3C693-FBBC-4842-BEAA-4AE16FAFD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45</xdr:row>
      <xdr:rowOff>179070</xdr:rowOff>
    </xdr:from>
    <xdr:to>
      <xdr:col>16</xdr:col>
      <xdr:colOff>571500</xdr:colOff>
      <xdr:row>64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52FA4-33C2-40DB-BCE1-B76FC35C1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06CA-E72A-43E3-AAA2-14B8F62F9EC4}">
  <dimension ref="A1:B17"/>
  <sheetViews>
    <sheetView workbookViewId="0">
      <selection activeCell="H15" sqref="H15"/>
    </sheetView>
  </sheetViews>
  <sheetFormatPr defaultRowHeight="14.4" x14ac:dyDescent="0.3"/>
  <cols>
    <col min="1" max="1" width="24.33203125" bestFit="1" customWidth="1"/>
    <col min="2" max="2" width="43.6640625" bestFit="1" customWidth="1"/>
  </cols>
  <sheetData>
    <row r="1" spans="1:2" x14ac:dyDescent="0.3">
      <c r="A1" s="39" t="s">
        <v>48</v>
      </c>
      <c r="B1" s="16"/>
    </row>
    <row r="2" spans="1:2" x14ac:dyDescent="0.3">
      <c r="A2" s="40" t="s">
        <v>65</v>
      </c>
      <c r="B2" s="10"/>
    </row>
    <row r="3" spans="1:2" ht="15" thickBot="1" x14ac:dyDescent="0.35">
      <c r="A3" s="40" t="s">
        <v>49</v>
      </c>
      <c r="B3" s="10"/>
    </row>
    <row r="4" spans="1:2" x14ac:dyDescent="0.3">
      <c r="A4" s="71" t="s">
        <v>50</v>
      </c>
      <c r="B4" s="16" t="s">
        <v>54</v>
      </c>
    </row>
    <row r="5" spans="1:2" x14ac:dyDescent="0.3">
      <c r="A5" s="72"/>
      <c r="B5" s="10" t="s">
        <v>58</v>
      </c>
    </row>
    <row r="6" spans="1:2" x14ac:dyDescent="0.3">
      <c r="A6" s="72"/>
      <c r="B6" s="10" t="s">
        <v>55</v>
      </c>
    </row>
    <row r="7" spans="1:2" ht="15" thickBot="1" x14ac:dyDescent="0.35">
      <c r="A7" s="73"/>
      <c r="B7" s="13" t="s">
        <v>66</v>
      </c>
    </row>
    <row r="8" spans="1:2" x14ac:dyDescent="0.3">
      <c r="A8" s="71" t="s">
        <v>51</v>
      </c>
      <c r="B8" s="16" t="s">
        <v>57</v>
      </c>
    </row>
    <row r="9" spans="1:2" x14ac:dyDescent="0.3">
      <c r="A9" s="72"/>
      <c r="B9" s="10" t="s">
        <v>56</v>
      </c>
    </row>
    <row r="10" spans="1:2" x14ac:dyDescent="0.3">
      <c r="A10" s="72"/>
      <c r="B10" s="10" t="s">
        <v>63</v>
      </c>
    </row>
    <row r="11" spans="1:2" x14ac:dyDescent="0.3">
      <c r="A11" s="72"/>
      <c r="B11" s="10" t="s">
        <v>59</v>
      </c>
    </row>
    <row r="12" spans="1:2" ht="15" thickBot="1" x14ac:dyDescent="0.35">
      <c r="A12" s="73"/>
      <c r="B12" s="35" t="s">
        <v>64</v>
      </c>
    </row>
    <row r="13" spans="1:2" x14ac:dyDescent="0.3">
      <c r="A13" s="72" t="s">
        <v>52</v>
      </c>
      <c r="B13" s="10" t="s">
        <v>60</v>
      </c>
    </row>
    <row r="14" spans="1:2" x14ac:dyDescent="0.3">
      <c r="A14" s="72"/>
      <c r="B14" s="10" t="s">
        <v>67</v>
      </c>
    </row>
    <row r="15" spans="1:2" x14ac:dyDescent="0.3">
      <c r="A15" s="72"/>
      <c r="B15" s="10" t="s">
        <v>61</v>
      </c>
    </row>
    <row r="16" spans="1:2" ht="15" thickBot="1" x14ac:dyDescent="0.35">
      <c r="A16" s="73"/>
      <c r="B16" s="13" t="s">
        <v>62</v>
      </c>
    </row>
    <row r="17" spans="1:2" ht="15" thickBot="1" x14ac:dyDescent="0.35">
      <c r="A17" s="41" t="s">
        <v>53</v>
      </c>
      <c r="B17" s="13"/>
    </row>
  </sheetData>
  <mergeCells count="3">
    <mergeCell ref="A4:A7"/>
    <mergeCell ref="A13:A16"/>
    <mergeCell ref="A8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opLeftCell="C1" workbookViewId="0">
      <selection activeCell="K20" sqref="K20"/>
    </sheetView>
  </sheetViews>
  <sheetFormatPr defaultRowHeight="14.4" x14ac:dyDescent="0.3"/>
  <cols>
    <col min="1" max="1" width="13.44140625" bestFit="1" customWidth="1"/>
    <col min="6" max="6" width="12" bestFit="1" customWidth="1"/>
    <col min="17" max="17" width="20.109375" bestFit="1" customWidth="1"/>
    <col min="18" max="18" width="16.88671875" bestFit="1" customWidth="1"/>
    <col min="19" max="20" width="18.44140625" bestFit="1" customWidth="1"/>
  </cols>
  <sheetData>
    <row r="1" spans="1:20" x14ac:dyDescent="0.3">
      <c r="B1" s="77" t="s">
        <v>5</v>
      </c>
      <c r="C1" s="77"/>
      <c r="D1" s="77"/>
      <c r="E1" s="77"/>
      <c r="F1" s="77" t="s">
        <v>9</v>
      </c>
      <c r="G1" s="77"/>
      <c r="H1" s="77"/>
      <c r="I1" s="77"/>
      <c r="J1" s="77" t="s">
        <v>10</v>
      </c>
      <c r="K1" s="77"/>
      <c r="L1" s="77" t="s">
        <v>11</v>
      </c>
      <c r="M1" s="77"/>
      <c r="Q1" s="74" t="s">
        <v>18</v>
      </c>
      <c r="R1" s="75"/>
      <c r="S1" s="75"/>
      <c r="T1" s="76"/>
    </row>
    <row r="2" spans="1:20" x14ac:dyDescent="0.3">
      <c r="B2" s="77" t="s">
        <v>12</v>
      </c>
      <c r="C2" s="77"/>
      <c r="D2" s="77" t="s">
        <v>13</v>
      </c>
      <c r="E2" s="77"/>
      <c r="F2" s="77" t="s">
        <v>12</v>
      </c>
      <c r="G2" s="77"/>
      <c r="H2" s="77" t="s">
        <v>13</v>
      </c>
      <c r="I2" s="77"/>
      <c r="J2" s="1"/>
      <c r="K2" s="1"/>
      <c r="L2" s="1"/>
      <c r="M2" s="1"/>
      <c r="Q2" s="3"/>
      <c r="R2" s="2" t="s">
        <v>16</v>
      </c>
      <c r="S2" s="2" t="s">
        <v>19</v>
      </c>
      <c r="T2" s="4" t="s">
        <v>17</v>
      </c>
    </row>
    <row r="3" spans="1:20" x14ac:dyDescent="0.3"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  <c r="H3" t="s">
        <v>7</v>
      </c>
      <c r="I3" t="s">
        <v>8</v>
      </c>
      <c r="J3" t="s">
        <v>7</v>
      </c>
      <c r="K3" t="s">
        <v>8</v>
      </c>
      <c r="L3" t="s">
        <v>7</v>
      </c>
      <c r="Q3" s="3" t="s">
        <v>14</v>
      </c>
      <c r="R3" s="2"/>
      <c r="S3" s="2"/>
      <c r="T3" s="4"/>
    </row>
    <row r="4" spans="1:20" ht="15" thickBot="1" x14ac:dyDescent="0.35">
      <c r="A4" t="s">
        <v>0</v>
      </c>
      <c r="B4">
        <v>4.0000000000000002E-4</v>
      </c>
      <c r="C4">
        <v>1.6000000000000001E-3</v>
      </c>
      <c r="D4">
        <v>0.3866</v>
      </c>
      <c r="E4">
        <v>0.22059999999999999</v>
      </c>
      <c r="F4">
        <v>2.2000000000000001E-3</v>
      </c>
      <c r="G4">
        <v>1.2999999999999999E-2</v>
      </c>
      <c r="H4">
        <v>3.3239999999999998</v>
      </c>
      <c r="I4">
        <v>2.0327000000000002</v>
      </c>
      <c r="J4">
        <v>8.9999999999999993E-3</v>
      </c>
      <c r="K4">
        <v>5.0000000000000001E-3</v>
      </c>
      <c r="L4">
        <v>3.2000000000000002E-3</v>
      </c>
      <c r="Q4" s="5" t="s">
        <v>15</v>
      </c>
      <c r="R4" s="6"/>
      <c r="S4" s="6"/>
      <c r="T4" s="7"/>
    </row>
    <row r="5" spans="1:20" ht="15" thickBot="1" x14ac:dyDescent="0.35">
      <c r="A5" t="s">
        <v>6</v>
      </c>
      <c r="B5">
        <v>4.0000000000000002E-4</v>
      </c>
      <c r="C5">
        <v>1.5E-3</v>
      </c>
      <c r="D5">
        <v>0.38479999999999998</v>
      </c>
      <c r="E5">
        <v>0.2223</v>
      </c>
      <c r="F5">
        <v>1.23E-2</v>
      </c>
      <c r="G5">
        <v>1.12E-2</v>
      </c>
      <c r="H5">
        <v>2.5091000000000001</v>
      </c>
      <c r="I5">
        <v>0.50990000000000002</v>
      </c>
      <c r="J5">
        <v>1.2999999999999999E-2</v>
      </c>
      <c r="K5">
        <v>4.0000000000000001E-3</v>
      </c>
      <c r="L5">
        <v>2.5000000000000001E-3</v>
      </c>
    </row>
    <row r="6" spans="1:20" x14ac:dyDescent="0.3">
      <c r="B6">
        <f>AVERAGE(B4:B5)*1000</f>
        <v>0.4</v>
      </c>
      <c r="C6">
        <f>AVERAGE(C4:C5)*1000</f>
        <v>1.5500000000000003</v>
      </c>
      <c r="D6">
        <f>AVERAGE(D4:D5)</f>
        <v>0.38569999999999999</v>
      </c>
      <c r="E6">
        <f>AVERAGE(E4:E5)</f>
        <v>0.22144999999999998</v>
      </c>
      <c r="F6">
        <f t="shared" ref="F6:L6" si="0">AVERAGE(F4:F5)*1000</f>
        <v>7.25</v>
      </c>
      <c r="G6">
        <f t="shared" si="0"/>
        <v>12.1</v>
      </c>
      <c r="H6">
        <f>AVERAGE(H4:H5)</f>
        <v>2.91655</v>
      </c>
      <c r="I6">
        <f>AVERAGE(I4:I5)</f>
        <v>1.2713000000000001</v>
      </c>
      <c r="J6">
        <f t="shared" si="0"/>
        <v>11</v>
      </c>
      <c r="K6">
        <f t="shared" si="0"/>
        <v>4.5000000000000009</v>
      </c>
      <c r="L6">
        <f t="shared" si="0"/>
        <v>2.85</v>
      </c>
      <c r="M6">
        <f>_xlfn.STDEV.P(L4:L5)*1000</f>
        <v>0.35000000000000003</v>
      </c>
      <c r="Q6" s="74" t="s">
        <v>20</v>
      </c>
      <c r="R6" s="75"/>
      <c r="S6" s="75"/>
      <c r="T6" s="76"/>
    </row>
    <row r="7" spans="1:20" x14ac:dyDescent="0.3">
      <c r="Q7" s="3"/>
      <c r="R7" s="2" t="s">
        <v>16</v>
      </c>
      <c r="S7" s="2" t="s">
        <v>19</v>
      </c>
      <c r="T7" s="4" t="s">
        <v>17</v>
      </c>
    </row>
    <row r="8" spans="1:20" x14ac:dyDescent="0.3">
      <c r="Q8" s="3" t="s">
        <v>21</v>
      </c>
      <c r="R8" s="2"/>
      <c r="S8" s="2"/>
      <c r="T8" s="4"/>
    </row>
    <row r="9" spans="1:20" ht="15" thickBot="1" x14ac:dyDescent="0.35">
      <c r="A9" t="s">
        <v>1</v>
      </c>
      <c r="B9">
        <v>1.1999999999999999E-3</v>
      </c>
      <c r="C9">
        <v>2.3999999999999998E-3</v>
      </c>
      <c r="D9">
        <v>0.56899999999999995</v>
      </c>
      <c r="E9">
        <v>0.32950000000000002</v>
      </c>
      <c r="F9">
        <v>4.4400000000000002E-2</v>
      </c>
      <c r="G9">
        <v>2.1399999999999999E-2</v>
      </c>
      <c r="H9">
        <v>1.7811999999999999</v>
      </c>
      <c r="I9">
        <v>0.79859999999999998</v>
      </c>
      <c r="J9">
        <v>3.5000000000000003E-2</v>
      </c>
      <c r="K9">
        <v>8.9999999999999993E-3</v>
      </c>
      <c r="L9">
        <v>2.8400000000000002E-2</v>
      </c>
      <c r="Q9" s="5" t="s">
        <v>22</v>
      </c>
      <c r="R9" s="6"/>
      <c r="S9" s="6"/>
      <c r="T9" s="7"/>
    </row>
    <row r="10" spans="1:20" x14ac:dyDescent="0.3">
      <c r="A10" t="s">
        <v>2</v>
      </c>
      <c r="B10">
        <v>1.1000000000000001E-3</v>
      </c>
      <c r="C10">
        <v>2.5000000000000001E-3</v>
      </c>
      <c r="D10">
        <v>0.62919999999999998</v>
      </c>
      <c r="E10">
        <v>0.37969999999999998</v>
      </c>
      <c r="F10">
        <v>3.6799999999999999E-2</v>
      </c>
      <c r="G10">
        <v>1.84E-2</v>
      </c>
      <c r="H10">
        <v>6.4372999999999996</v>
      </c>
      <c r="I10">
        <v>3.0859999999999999</v>
      </c>
      <c r="J10">
        <v>2.4E-2</v>
      </c>
      <c r="K10">
        <v>8.0000000000000002E-3</v>
      </c>
      <c r="L10">
        <v>1.38E-2</v>
      </c>
    </row>
    <row r="11" spans="1:20" x14ac:dyDescent="0.3">
      <c r="B11">
        <f>AVERAGE(B9:B10)*1000</f>
        <v>1.1499999999999999</v>
      </c>
      <c r="C11">
        <f t="shared" ref="C11:L11" si="1">AVERAGE(C9:C10)*1000</f>
        <v>2.4499999999999997</v>
      </c>
      <c r="D11">
        <f>AVERAGE(D9:D10)</f>
        <v>0.59909999999999997</v>
      </c>
      <c r="E11">
        <f>AVERAGE(E9:E10)</f>
        <v>0.35460000000000003</v>
      </c>
      <c r="F11">
        <f t="shared" si="1"/>
        <v>40.599999999999994</v>
      </c>
      <c r="G11">
        <f t="shared" si="1"/>
        <v>19.900000000000002</v>
      </c>
      <c r="H11">
        <f>AVERAGE(H9:H10)</f>
        <v>4.1092499999999994</v>
      </c>
      <c r="I11">
        <f>AVERAGE(I9:I10)</f>
        <v>1.9422999999999999</v>
      </c>
      <c r="J11">
        <f t="shared" si="1"/>
        <v>29.500000000000004</v>
      </c>
      <c r="K11">
        <f t="shared" si="1"/>
        <v>8.5</v>
      </c>
      <c r="L11">
        <f t="shared" si="1"/>
        <v>21.1</v>
      </c>
      <c r="M11">
        <f>_xlfn.STDEV.P(L9:L10)*1000</f>
        <v>7.3</v>
      </c>
    </row>
    <row r="14" spans="1:20" x14ac:dyDescent="0.3">
      <c r="A14" t="s">
        <v>3</v>
      </c>
      <c r="B14">
        <v>3.8E-3</v>
      </c>
      <c r="C14">
        <v>2.3800000000000002E-2</v>
      </c>
      <c r="D14">
        <v>1.8623000000000001</v>
      </c>
      <c r="E14">
        <v>12.8551</v>
      </c>
      <c r="F14">
        <v>-2.8999999999999998E-3</v>
      </c>
      <c r="G14">
        <v>1.9199999999999998E-2</v>
      </c>
      <c r="H14">
        <v>5.3643000000000001</v>
      </c>
      <c r="I14">
        <v>9.2775999999999996</v>
      </c>
      <c r="J14">
        <v>2.1000000000000001E-2</v>
      </c>
      <c r="K14">
        <v>0.01</v>
      </c>
      <c r="L14">
        <v>1.2919999999999999E-2</v>
      </c>
    </row>
    <row r="15" spans="1:20" x14ac:dyDescent="0.3">
      <c r="A15" t="s">
        <v>4</v>
      </c>
      <c r="B15">
        <v>1.4E-3</v>
      </c>
      <c r="C15">
        <v>3.0000000000000001E-3</v>
      </c>
      <c r="D15">
        <v>0.69520000000000004</v>
      </c>
      <c r="E15">
        <v>0.43109999999999998</v>
      </c>
      <c r="F15">
        <v>4.87E-2</v>
      </c>
      <c r="G15">
        <v>2.1600000000000001E-2</v>
      </c>
      <c r="H15">
        <v>6.1695000000000002</v>
      </c>
      <c r="I15">
        <v>3.3368000000000002</v>
      </c>
      <c r="J15">
        <v>2.8000000000000001E-2</v>
      </c>
      <c r="K15">
        <v>1.2E-2</v>
      </c>
      <c r="L15">
        <v>2.5770000000000001E-2</v>
      </c>
    </row>
    <row r="16" spans="1:20" x14ac:dyDescent="0.3">
      <c r="B16">
        <f>AVERAGE(B14:B15)*1000</f>
        <v>2.6</v>
      </c>
      <c r="C16">
        <f t="shared" ref="C16:L16" si="2">AVERAGE(C14:C15)*1000</f>
        <v>13.4</v>
      </c>
      <c r="D16">
        <f>AVERAGE(D14:D15)</f>
        <v>1.2787500000000001</v>
      </c>
      <c r="E16">
        <f>AVERAGE(E14:E15)</f>
        <v>6.6431000000000004</v>
      </c>
      <c r="F16">
        <f t="shared" si="2"/>
        <v>22.9</v>
      </c>
      <c r="G16">
        <f t="shared" si="2"/>
        <v>20.400000000000002</v>
      </c>
      <c r="H16">
        <f>AVERAGE(H14:H15)</f>
        <v>5.7668999999999997</v>
      </c>
      <c r="I16">
        <f>AVERAGE(I14:I15)</f>
        <v>6.3071999999999999</v>
      </c>
      <c r="J16">
        <f t="shared" si="2"/>
        <v>24.5</v>
      </c>
      <c r="K16">
        <f t="shared" si="2"/>
        <v>11</v>
      </c>
      <c r="L16">
        <f t="shared" si="2"/>
        <v>19.345000000000002</v>
      </c>
      <c r="M16">
        <f>_xlfn.STDEV.P(L14:L15)*1000</f>
        <v>6.4250000000000025</v>
      </c>
    </row>
  </sheetData>
  <mergeCells count="10">
    <mergeCell ref="Q1:T1"/>
    <mergeCell ref="Q6:T6"/>
    <mergeCell ref="J1:K1"/>
    <mergeCell ref="L1:M1"/>
    <mergeCell ref="B2:C2"/>
    <mergeCell ref="B1:E1"/>
    <mergeCell ref="D2:E2"/>
    <mergeCell ref="F1:I1"/>
    <mergeCell ref="F2:G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716D-6442-4643-B893-FFDFB2F1EEDD}">
  <dimension ref="A1:V41"/>
  <sheetViews>
    <sheetView workbookViewId="0">
      <selection activeCell="D26" sqref="D25:D26"/>
    </sheetView>
  </sheetViews>
  <sheetFormatPr defaultRowHeight="14.4" x14ac:dyDescent="0.3"/>
  <cols>
    <col min="1" max="1" width="26.33203125" bestFit="1" customWidth="1"/>
    <col min="2" max="2" width="5.6640625" bestFit="1" customWidth="1"/>
    <col min="3" max="3" width="18.109375" bestFit="1" customWidth="1"/>
    <col min="4" max="4" width="18.109375" customWidth="1"/>
    <col min="5" max="6" width="9.5546875" bestFit="1" customWidth="1"/>
    <col min="7" max="8" width="9" bestFit="1" customWidth="1"/>
    <col min="9" max="9" width="10.21875" bestFit="1" customWidth="1"/>
    <col min="10" max="15" width="9.5546875" bestFit="1" customWidth="1"/>
    <col min="16" max="16" width="9" bestFit="1" customWidth="1"/>
    <col min="17" max="17" width="13.33203125" bestFit="1" customWidth="1"/>
    <col min="19" max="19" width="20.109375" bestFit="1" customWidth="1"/>
    <col min="20" max="20" width="16.88671875" bestFit="1" customWidth="1"/>
    <col min="21" max="22" width="18.44140625" bestFit="1" customWidth="1"/>
  </cols>
  <sheetData>
    <row r="1" spans="1:22" x14ac:dyDescent="0.3">
      <c r="A1" s="81" t="s">
        <v>95</v>
      </c>
      <c r="B1" s="78" t="s">
        <v>26</v>
      </c>
      <c r="C1" s="81" t="s">
        <v>23</v>
      </c>
      <c r="D1" s="81" t="s">
        <v>138</v>
      </c>
      <c r="E1" s="78" t="s">
        <v>5</v>
      </c>
      <c r="F1" s="79"/>
      <c r="G1" s="79"/>
      <c r="H1" s="80"/>
      <c r="I1" s="78" t="s">
        <v>9</v>
      </c>
      <c r="J1" s="79"/>
      <c r="K1" s="79"/>
      <c r="L1" s="80"/>
      <c r="M1" s="78" t="s">
        <v>10</v>
      </c>
      <c r="N1" s="80"/>
      <c r="O1" s="78" t="s">
        <v>11</v>
      </c>
      <c r="P1" s="80"/>
      <c r="Q1" s="60" t="s">
        <v>139</v>
      </c>
      <c r="R1" s="61"/>
    </row>
    <row r="2" spans="1:22" x14ac:dyDescent="0.3">
      <c r="A2" s="82"/>
      <c r="B2" s="88"/>
      <c r="C2" s="82"/>
      <c r="D2" s="82"/>
      <c r="E2" s="88" t="s">
        <v>12</v>
      </c>
      <c r="F2" s="87"/>
      <c r="G2" s="87" t="s">
        <v>13</v>
      </c>
      <c r="H2" s="89"/>
      <c r="I2" s="88" t="s">
        <v>12</v>
      </c>
      <c r="J2" s="87"/>
      <c r="K2" s="87" t="s">
        <v>13</v>
      </c>
      <c r="L2" s="89"/>
      <c r="M2" s="57"/>
      <c r="N2" s="58"/>
      <c r="O2" s="57"/>
      <c r="P2" s="58"/>
      <c r="Q2" s="87" t="s">
        <v>140</v>
      </c>
      <c r="R2" s="61"/>
    </row>
    <row r="3" spans="1:22" x14ac:dyDescent="0.3">
      <c r="A3" s="82"/>
      <c r="B3" s="88"/>
      <c r="C3" s="82"/>
      <c r="D3" s="83"/>
      <c r="E3" s="57" t="s">
        <v>7</v>
      </c>
      <c r="F3" s="56" t="s">
        <v>8</v>
      </c>
      <c r="G3" s="56" t="s">
        <v>7</v>
      </c>
      <c r="H3" s="58" t="s">
        <v>8</v>
      </c>
      <c r="I3" s="57" t="s">
        <v>7</v>
      </c>
      <c r="J3" s="56" t="s">
        <v>8</v>
      </c>
      <c r="K3" s="56" t="s">
        <v>7</v>
      </c>
      <c r="L3" s="58" t="s">
        <v>8</v>
      </c>
      <c r="M3" s="57" t="s">
        <v>7</v>
      </c>
      <c r="N3" s="58" t="s">
        <v>8</v>
      </c>
      <c r="O3" s="57" t="s">
        <v>7</v>
      </c>
      <c r="P3" s="58"/>
      <c r="Q3" s="87"/>
      <c r="R3" s="61"/>
    </row>
    <row r="4" spans="1:22" ht="15" thickBot="1" x14ac:dyDescent="0.35">
      <c r="A4" s="2" t="s">
        <v>33</v>
      </c>
      <c r="B4" s="2">
        <v>25</v>
      </c>
      <c r="C4" s="2">
        <v>4.0000000000000001E-3</v>
      </c>
      <c r="D4" s="2">
        <v>53</v>
      </c>
      <c r="E4" s="59">
        <v>5.0000000000000001E-4</v>
      </c>
      <c r="F4" s="2">
        <v>2.0999999999999999E-3</v>
      </c>
      <c r="G4" s="59">
        <v>0.51090000000000002</v>
      </c>
      <c r="H4" s="59">
        <v>0.36730000000000002</v>
      </c>
      <c r="I4" s="2">
        <v>-8.0000000000000002E-3</v>
      </c>
      <c r="J4" s="2">
        <v>1.1900000000000001E-2</v>
      </c>
      <c r="K4" s="2">
        <v>4.3733000000000004</v>
      </c>
      <c r="L4" s="2">
        <v>1.6862999999999999</v>
      </c>
      <c r="M4" s="59">
        <v>1.1339999999999999E-2</v>
      </c>
      <c r="N4" s="59">
        <v>5.0000000000000001E-3</v>
      </c>
      <c r="O4" s="59">
        <v>3.8999999999999998E-3</v>
      </c>
      <c r="P4" s="2"/>
      <c r="Q4" s="87"/>
      <c r="R4" s="9"/>
    </row>
    <row r="5" spans="1:22" x14ac:dyDescent="0.3">
      <c r="A5" s="2" t="s">
        <v>32</v>
      </c>
      <c r="B5" s="2">
        <v>25</v>
      </c>
      <c r="C5" s="2">
        <v>4.0000000000000001E-3</v>
      </c>
      <c r="D5" s="2">
        <v>54</v>
      </c>
      <c r="E5" s="2">
        <v>4.0000000000000002E-4</v>
      </c>
      <c r="F5" s="2">
        <v>2.0999999999999999E-3</v>
      </c>
      <c r="G5" s="2">
        <v>0.49359999999999998</v>
      </c>
      <c r="H5" s="2">
        <v>0.29820000000000002</v>
      </c>
      <c r="I5" s="2">
        <v>5.3E-3</v>
      </c>
      <c r="J5" s="2">
        <v>6.7000000000000002E-3</v>
      </c>
      <c r="K5" s="2">
        <v>3.8428</v>
      </c>
      <c r="L5" s="2">
        <v>1.7545999999999999</v>
      </c>
      <c r="M5" s="2">
        <v>1.167E-2</v>
      </c>
      <c r="N5" s="2">
        <v>5.0000000000000001E-3</v>
      </c>
      <c r="O5" s="2">
        <v>3.3999999999999998E-3</v>
      </c>
      <c r="P5" s="2"/>
      <c r="Q5" s="87"/>
      <c r="R5" s="9"/>
      <c r="S5" s="84" t="s">
        <v>86</v>
      </c>
      <c r="T5" s="85"/>
      <c r="U5" s="85"/>
      <c r="V5" s="86"/>
    </row>
    <row r="6" spans="1:22" x14ac:dyDescent="0.3">
      <c r="Q6" s="87"/>
      <c r="R6" s="9"/>
      <c r="S6" s="3"/>
      <c r="T6" s="2" t="s">
        <v>16</v>
      </c>
      <c r="U6" s="4" t="s">
        <v>19</v>
      </c>
      <c r="V6" s="4" t="s">
        <v>19</v>
      </c>
    </row>
    <row r="7" spans="1:22" x14ac:dyDescent="0.3">
      <c r="E7" s="49">
        <f>AVERAGE(E4:E5)*1000</f>
        <v>0.45</v>
      </c>
      <c r="F7" s="49">
        <f>AVERAGE(F4:F5)*1000</f>
        <v>2.1</v>
      </c>
      <c r="G7" s="49">
        <f>AVERAGE(G4:G5)</f>
        <v>0.50224999999999997</v>
      </c>
      <c r="H7" s="49">
        <f>AVERAGE(H4:H5)</f>
        <v>0.33274999999999999</v>
      </c>
      <c r="I7" s="49">
        <f>AVERAGE(I4:I5)*1000</f>
        <v>-1.35</v>
      </c>
      <c r="J7" s="49">
        <f>AVERAGE(J4:J5)*1000</f>
        <v>9.3000000000000007</v>
      </c>
      <c r="K7" s="49">
        <f>AVERAGE(K4:K5)</f>
        <v>4.1080500000000004</v>
      </c>
      <c r="L7" s="49">
        <f>AVERAGE(L4:L5)</f>
        <v>1.72045</v>
      </c>
      <c r="M7" s="49">
        <f>AVERAGE(M4:M5)*1000</f>
        <v>11.504999999999999</v>
      </c>
      <c r="N7" s="49">
        <f>AVERAGE(N4:N5)*1000</f>
        <v>5</v>
      </c>
      <c r="O7" s="49">
        <f>AVERAGE(O4:O5)*1000</f>
        <v>3.6499999999999995</v>
      </c>
      <c r="P7" s="49">
        <f>_xlfn.STDEV.P(O4:O5)*1000</f>
        <v>0.25</v>
      </c>
      <c r="Q7" s="87"/>
      <c r="R7" s="9"/>
      <c r="S7" s="3" t="s">
        <v>14</v>
      </c>
      <c r="T7" s="51" t="s">
        <v>147</v>
      </c>
      <c r="U7" s="4" t="s">
        <v>149</v>
      </c>
      <c r="V7" s="4" t="s">
        <v>151</v>
      </c>
    </row>
    <row r="8" spans="1:22" ht="15" thickBot="1" x14ac:dyDescent="0.35">
      <c r="Q8" s="87"/>
      <c r="R8" s="9"/>
      <c r="S8" s="5" t="s">
        <v>15</v>
      </c>
      <c r="T8" s="6" t="s">
        <v>148</v>
      </c>
      <c r="U8" s="7" t="s">
        <v>150</v>
      </c>
      <c r="V8" s="7" t="s">
        <v>152</v>
      </c>
    </row>
    <row r="9" spans="1:22" ht="15" thickBot="1" x14ac:dyDescent="0.35">
      <c r="A9" s="2" t="s">
        <v>34</v>
      </c>
      <c r="B9" s="2">
        <v>25</v>
      </c>
      <c r="C9" s="2">
        <v>4.0000000000000001E-3</v>
      </c>
      <c r="D9" s="2">
        <v>21</v>
      </c>
      <c r="E9" s="2">
        <v>8.0000000000000004E-4</v>
      </c>
      <c r="F9" s="2">
        <v>2.8999999999999998E-3</v>
      </c>
      <c r="G9" s="2">
        <v>0.71919999999999995</v>
      </c>
      <c r="H9" s="2">
        <v>0.40600000000000003</v>
      </c>
      <c r="I9" s="59">
        <v>9.4000000000000004E-3</v>
      </c>
      <c r="J9" s="59">
        <v>8.9999999999999993E-3</v>
      </c>
      <c r="K9" s="59">
        <v>3.3292999999999999</v>
      </c>
      <c r="L9" s="59">
        <v>1.2914000000000001</v>
      </c>
      <c r="M9" s="2">
        <v>9.5200000000000007E-3</v>
      </c>
      <c r="N9" s="2">
        <v>3.0000000000000001E-3</v>
      </c>
      <c r="O9" s="2">
        <v>4.7999999999999996E-3</v>
      </c>
      <c r="P9" s="2"/>
      <c r="Q9" s="87"/>
      <c r="R9" s="9"/>
    </row>
    <row r="10" spans="1:22" x14ac:dyDescent="0.3">
      <c r="A10" s="2" t="s">
        <v>35</v>
      </c>
      <c r="B10" s="2">
        <v>25</v>
      </c>
      <c r="C10" s="2">
        <v>4.0000000000000001E-3</v>
      </c>
      <c r="D10" s="2">
        <v>19</v>
      </c>
      <c r="E10" s="2">
        <v>8.0000000000000004E-4</v>
      </c>
      <c r="F10" s="2">
        <v>2.8E-3</v>
      </c>
      <c r="G10" s="2">
        <v>0.70860000000000001</v>
      </c>
      <c r="H10" s="2">
        <v>0.4007</v>
      </c>
      <c r="I10" s="59">
        <v>2.3099999999999999E-2</v>
      </c>
      <c r="J10" s="59">
        <v>1.11E-2</v>
      </c>
      <c r="K10" s="59">
        <v>5.8745000000000003</v>
      </c>
      <c r="L10" s="59">
        <v>2.1909000000000001</v>
      </c>
      <c r="M10" s="2">
        <v>1.3849999999999999E-2</v>
      </c>
      <c r="N10" s="2">
        <v>5.0000000000000001E-3</v>
      </c>
      <c r="O10" s="2">
        <v>8.8000000000000005E-3</v>
      </c>
      <c r="P10" s="2"/>
      <c r="Q10" s="87"/>
      <c r="R10" s="9"/>
      <c r="S10" s="84" t="s">
        <v>18</v>
      </c>
      <c r="T10" s="85"/>
      <c r="U10" s="85"/>
      <c r="V10" s="86"/>
    </row>
    <row r="11" spans="1:22" x14ac:dyDescent="0.3">
      <c r="Q11" s="87"/>
      <c r="R11" s="9"/>
      <c r="S11" s="3"/>
      <c r="T11" s="2" t="s">
        <v>16</v>
      </c>
      <c r="U11" s="4" t="s">
        <v>19</v>
      </c>
      <c r="V11" s="4" t="s">
        <v>17</v>
      </c>
    </row>
    <row r="12" spans="1:22" x14ac:dyDescent="0.3">
      <c r="E12" s="49">
        <f>AVERAGE(E9:E10)*1000</f>
        <v>0.8</v>
      </c>
      <c r="F12" s="49">
        <f>AVERAGE(F9:F10)*1000</f>
        <v>2.85</v>
      </c>
      <c r="G12" s="49">
        <f>AVERAGE(G9:G10)</f>
        <v>0.71389999999999998</v>
      </c>
      <c r="H12" s="49">
        <f>AVERAGE(H9:H10)</f>
        <v>0.40334999999999999</v>
      </c>
      <c r="I12" s="49">
        <f>AVERAGE(I9:I10)*1000</f>
        <v>16.25</v>
      </c>
      <c r="J12" s="49">
        <f>AVERAGE(J9:J10)*1000</f>
        <v>10.050000000000001</v>
      </c>
      <c r="K12" s="49">
        <f>AVERAGE(K9:K10)</f>
        <v>4.6019000000000005</v>
      </c>
      <c r="L12" s="49">
        <f>AVERAGE(L9:L10)</f>
        <v>1.7411500000000002</v>
      </c>
      <c r="M12" s="49">
        <f>AVERAGE(M9:M10)*1000</f>
        <v>11.685</v>
      </c>
      <c r="N12" s="49">
        <f>AVERAGE(N9:N10)*1000</f>
        <v>4</v>
      </c>
      <c r="O12" s="49">
        <f>AVERAGE(O9:O10)*1000</f>
        <v>6.8000000000000007</v>
      </c>
      <c r="P12" s="49">
        <f>_xlfn.STDEV.P(O9:O10)*1000</f>
        <v>2.0000000000000004</v>
      </c>
      <c r="Q12" s="87"/>
      <c r="R12" s="9"/>
      <c r="S12" s="3" t="s">
        <v>14</v>
      </c>
      <c r="T12" s="2" t="s">
        <v>142</v>
      </c>
      <c r="U12" s="4" t="s">
        <v>143</v>
      </c>
      <c r="V12" s="4" t="s">
        <v>145</v>
      </c>
    </row>
    <row r="13" spans="1:22" ht="15" thickBot="1" x14ac:dyDescent="0.35">
      <c r="Q13" s="87"/>
      <c r="R13" s="9"/>
      <c r="S13" s="5" t="s">
        <v>15</v>
      </c>
      <c r="T13" s="6" t="s">
        <v>141</v>
      </c>
      <c r="U13" s="7" t="s">
        <v>144</v>
      </c>
      <c r="V13" s="7" t="s">
        <v>146</v>
      </c>
    </row>
    <row r="14" spans="1:22" ht="15" thickBot="1" x14ac:dyDescent="0.35">
      <c r="A14" s="2" t="s">
        <v>76</v>
      </c>
      <c r="B14" s="2">
        <v>25</v>
      </c>
      <c r="C14" s="2">
        <v>6.0000000000000001E-3</v>
      </c>
      <c r="D14" s="2">
        <v>20</v>
      </c>
      <c r="E14" s="2">
        <v>8.0000000000000004E-4</v>
      </c>
      <c r="F14" s="2">
        <v>3.3E-3</v>
      </c>
      <c r="G14" s="2">
        <v>0.89659999999999995</v>
      </c>
      <c r="H14" s="2">
        <v>0.74470000000000003</v>
      </c>
      <c r="I14" s="2">
        <v>6.1000000000000004E-3</v>
      </c>
      <c r="J14" s="2">
        <v>1.2999999999999999E-2</v>
      </c>
      <c r="K14" s="2">
        <v>6.4135999999999997</v>
      </c>
      <c r="L14" s="2">
        <v>3.0508999999999999</v>
      </c>
      <c r="M14" s="2">
        <v>1.5720000000000001E-2</v>
      </c>
      <c r="N14" s="2">
        <v>6.0000000000000001E-3</v>
      </c>
      <c r="O14" s="2">
        <v>6.7999999999999996E-3</v>
      </c>
      <c r="P14" s="2"/>
      <c r="Q14" s="87"/>
      <c r="R14" s="9"/>
    </row>
    <row r="15" spans="1:22" x14ac:dyDescent="0.3">
      <c r="A15" s="2" t="s">
        <v>76</v>
      </c>
      <c r="B15" s="2">
        <v>25</v>
      </c>
      <c r="C15" s="2">
        <v>6.0000000000000001E-3</v>
      </c>
      <c r="D15" s="2">
        <v>17</v>
      </c>
      <c r="E15" s="2">
        <v>8.9999999999999998E-4</v>
      </c>
      <c r="F15" s="2">
        <v>3.3E-3</v>
      </c>
      <c r="G15" s="2">
        <v>0.81589999999999996</v>
      </c>
      <c r="H15" s="2">
        <v>0.4582</v>
      </c>
      <c r="I15" s="2">
        <v>1.8100000000000002E-2</v>
      </c>
      <c r="J15" s="2">
        <v>1.6E-2</v>
      </c>
      <c r="K15" s="2">
        <v>6.8879000000000001</v>
      </c>
      <c r="L15" s="2">
        <v>3.7374000000000001</v>
      </c>
      <c r="M15" s="2">
        <v>9.4699999999999993E-3</v>
      </c>
      <c r="N15" s="2">
        <v>5.0000000000000001E-3</v>
      </c>
      <c r="O15" s="2">
        <v>4.4000000000000003E-3</v>
      </c>
      <c r="P15" s="2"/>
      <c r="Q15" s="87"/>
      <c r="R15" s="9"/>
      <c r="S15" s="84" t="s">
        <v>20</v>
      </c>
      <c r="T15" s="85"/>
      <c r="U15" s="85"/>
      <c r="V15" s="86"/>
    </row>
    <row r="16" spans="1:22" x14ac:dyDescent="0.3">
      <c r="Q16" s="87"/>
      <c r="R16" s="9"/>
      <c r="S16" s="3"/>
      <c r="T16" s="2" t="s">
        <v>16</v>
      </c>
      <c r="U16" s="4" t="s">
        <v>19</v>
      </c>
      <c r="V16" s="4" t="s">
        <v>17</v>
      </c>
    </row>
    <row r="17" spans="1:22" x14ac:dyDescent="0.3">
      <c r="E17" s="49">
        <f>AVERAGE(E14:E15)*1000</f>
        <v>0.85000000000000009</v>
      </c>
      <c r="F17" s="49">
        <f>AVERAGE(F14:F15)*1000</f>
        <v>3.3</v>
      </c>
      <c r="G17" s="49">
        <f>AVERAGE(G14:G15)</f>
        <v>0.85624999999999996</v>
      </c>
      <c r="H17" s="49">
        <f>AVERAGE(H14:H15)</f>
        <v>0.60145000000000004</v>
      </c>
      <c r="I17" s="49">
        <f>AVERAGE(I14:I15)*1000</f>
        <v>12.100000000000001</v>
      </c>
      <c r="J17" s="49">
        <f>AVERAGE(J14:J15)*1000</f>
        <v>14.499999999999998</v>
      </c>
      <c r="K17" s="49">
        <f>AVERAGE(K14:K15)</f>
        <v>6.6507500000000004</v>
      </c>
      <c r="L17" s="49">
        <f>AVERAGE(L14:L15)</f>
        <v>3.3941499999999998</v>
      </c>
      <c r="M17" s="49">
        <f>AVERAGE(M14:M15)*1000</f>
        <v>12.595000000000001</v>
      </c>
      <c r="N17" s="49">
        <f>AVERAGE(N14:N15)*1000</f>
        <v>5.5</v>
      </c>
      <c r="O17" s="49">
        <f>AVERAGE(O14:O15)*1000</f>
        <v>5.6</v>
      </c>
      <c r="P17" s="49">
        <f>_xlfn.STDEV.P(O14:O15)*1000</f>
        <v>1.1999999999999997</v>
      </c>
      <c r="Q17" s="87"/>
      <c r="R17" s="9"/>
      <c r="S17" s="3" t="s">
        <v>21</v>
      </c>
      <c r="T17" s="2" t="s">
        <v>153</v>
      </c>
      <c r="U17" s="4" t="s">
        <v>155</v>
      </c>
      <c r="V17" s="4" t="s">
        <v>157</v>
      </c>
    </row>
    <row r="18" spans="1:22" ht="15" thickBot="1" x14ac:dyDescent="0.35">
      <c r="R18" s="9"/>
      <c r="S18" s="5" t="s">
        <v>22</v>
      </c>
      <c r="T18" s="6" t="s">
        <v>154</v>
      </c>
      <c r="U18" s="7" t="s">
        <v>156</v>
      </c>
      <c r="V18" s="7" t="s">
        <v>158</v>
      </c>
    </row>
    <row r="19" spans="1:22" x14ac:dyDescent="0.3">
      <c r="R19" s="9"/>
      <c r="S19" s="9"/>
    </row>
    <row r="20" spans="1:22" x14ac:dyDescent="0.3">
      <c r="R20" s="9"/>
      <c r="S20" s="9"/>
    </row>
    <row r="21" spans="1:22" x14ac:dyDescent="0.3">
      <c r="R21" s="9"/>
      <c r="S21" s="9"/>
    </row>
    <row r="22" spans="1:22" x14ac:dyDescent="0.3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R22" s="9"/>
      <c r="S22" s="9"/>
    </row>
    <row r="23" spans="1:22" x14ac:dyDescent="0.3">
      <c r="R23" s="9"/>
      <c r="S23" s="9"/>
    </row>
    <row r="24" spans="1:22" x14ac:dyDescent="0.3">
      <c r="R24" s="9"/>
      <c r="S24" s="9"/>
    </row>
    <row r="25" spans="1:22" x14ac:dyDescent="0.3">
      <c r="Q25" s="9"/>
      <c r="R25" s="9"/>
      <c r="S25" s="9"/>
      <c r="T25" s="9"/>
      <c r="U25" s="9"/>
    </row>
    <row r="26" spans="1:22" x14ac:dyDescent="0.3">
      <c r="Q26" s="9"/>
      <c r="R26" s="9"/>
      <c r="S26" s="9"/>
      <c r="T26" s="9"/>
      <c r="U26" s="9"/>
    </row>
    <row r="27" spans="1:22" x14ac:dyDescent="0.3">
      <c r="Q27" s="9"/>
      <c r="R27" s="9"/>
      <c r="S27" s="9"/>
      <c r="T27" s="9"/>
      <c r="U27" s="9"/>
    </row>
    <row r="28" spans="1:22" x14ac:dyDescent="0.3">
      <c r="Q28" s="9"/>
      <c r="R28" s="9"/>
      <c r="S28" s="9"/>
      <c r="T28" s="9"/>
      <c r="U28" s="9"/>
    </row>
    <row r="29" spans="1:22" x14ac:dyDescent="0.3"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9"/>
      <c r="R29" s="9"/>
      <c r="S29" s="9"/>
      <c r="T29" s="9"/>
      <c r="U29" s="9"/>
    </row>
    <row r="30" spans="1:22" x14ac:dyDescent="0.3">
      <c r="Q30" s="9"/>
      <c r="R30" s="9"/>
      <c r="S30" s="9"/>
      <c r="T30" s="9"/>
      <c r="U30" s="9"/>
    </row>
    <row r="31" spans="1:22" x14ac:dyDescent="0.3">
      <c r="M31" s="20"/>
      <c r="O31" s="20"/>
      <c r="Q31" s="9"/>
      <c r="R31" s="9"/>
      <c r="S31" s="9"/>
      <c r="T31" s="9"/>
      <c r="U31" s="9"/>
    </row>
    <row r="32" spans="1:22" x14ac:dyDescent="0.3">
      <c r="M32" s="20"/>
      <c r="O32" s="20"/>
      <c r="Q32" s="9"/>
      <c r="R32" s="9"/>
      <c r="S32" s="9"/>
      <c r="T32" s="9"/>
      <c r="U32" s="9"/>
    </row>
    <row r="33" spans="5:21" x14ac:dyDescent="0.3">
      <c r="M33" s="20"/>
      <c r="O33" s="20"/>
      <c r="Q33" s="9"/>
      <c r="R33" s="9"/>
      <c r="S33" s="9"/>
      <c r="T33" s="9"/>
      <c r="U33" s="9"/>
    </row>
    <row r="34" spans="5:21" x14ac:dyDescent="0.3">
      <c r="Q34" s="9"/>
      <c r="R34" s="9"/>
      <c r="S34" s="9"/>
      <c r="T34" s="9"/>
      <c r="U34" s="9"/>
    </row>
    <row r="35" spans="5:21" x14ac:dyDescent="0.3"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9"/>
      <c r="R35" s="9"/>
      <c r="S35" s="9"/>
      <c r="T35" s="9"/>
      <c r="U35" s="9"/>
    </row>
    <row r="36" spans="5:21" x14ac:dyDescent="0.3">
      <c r="Q36" s="9"/>
      <c r="R36" s="9"/>
      <c r="S36" s="9"/>
      <c r="T36" s="9"/>
      <c r="U36" s="9"/>
    </row>
    <row r="41" spans="5:21" x14ac:dyDescent="0.3"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</row>
  </sheetData>
  <mergeCells count="17">
    <mergeCell ref="E1:H1"/>
    <mergeCell ref="I1:L1"/>
    <mergeCell ref="D1:D3"/>
    <mergeCell ref="A22:P22"/>
    <mergeCell ref="S5:V5"/>
    <mergeCell ref="S10:V10"/>
    <mergeCell ref="S15:V15"/>
    <mergeCell ref="Q2:Q17"/>
    <mergeCell ref="A1:A3"/>
    <mergeCell ref="B1:B3"/>
    <mergeCell ref="C1:C3"/>
    <mergeCell ref="M1:N1"/>
    <mergeCell ref="O1:P1"/>
    <mergeCell ref="E2:F2"/>
    <mergeCell ref="G2:H2"/>
    <mergeCell ref="I2:J2"/>
    <mergeCell ref="K2:L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FDE9-06F5-4FF6-9152-D56CC8449C2C}">
  <dimension ref="A1:AC94"/>
  <sheetViews>
    <sheetView topLeftCell="K11" zoomScale="90" zoomScaleNormal="90" workbookViewId="0">
      <selection activeCell="Q44" sqref="Q44"/>
    </sheetView>
  </sheetViews>
  <sheetFormatPr defaultRowHeight="14.4" x14ac:dyDescent="0.3"/>
  <cols>
    <col min="1" max="1" width="13.44140625" bestFit="1" customWidth="1"/>
    <col min="2" max="2" width="14.5546875" customWidth="1"/>
    <col min="3" max="3" width="18.109375" bestFit="1" customWidth="1"/>
    <col min="4" max="4" width="20.44140625" bestFit="1" customWidth="1"/>
    <col min="11" max="11" width="10.44140625" bestFit="1" customWidth="1"/>
    <col min="15" max="15" width="12" bestFit="1" customWidth="1"/>
    <col min="24" max="24" width="21.44140625" bestFit="1" customWidth="1"/>
    <col min="25" max="25" width="18" bestFit="1" customWidth="1"/>
    <col min="26" max="27" width="19.77734375" bestFit="1" customWidth="1"/>
  </cols>
  <sheetData>
    <row r="1" spans="1:18" x14ac:dyDescent="0.3">
      <c r="A1" s="90" t="s">
        <v>33</v>
      </c>
      <c r="B1" s="91" t="s">
        <v>26</v>
      </c>
      <c r="C1" s="94" t="s">
        <v>23</v>
      </c>
      <c r="D1" s="97" t="s">
        <v>24</v>
      </c>
      <c r="E1" s="91" t="s">
        <v>5</v>
      </c>
      <c r="F1" s="104"/>
      <c r="G1" s="104"/>
      <c r="H1" s="97"/>
      <c r="I1" s="91" t="s">
        <v>9</v>
      </c>
      <c r="J1" s="104"/>
      <c r="K1" s="104"/>
      <c r="L1" s="97"/>
      <c r="M1" s="91" t="s">
        <v>10</v>
      </c>
      <c r="N1" s="97"/>
      <c r="O1" s="91" t="s">
        <v>11</v>
      </c>
      <c r="P1" s="97"/>
      <c r="Q1" s="92" t="s">
        <v>135</v>
      </c>
      <c r="R1" s="77"/>
    </row>
    <row r="2" spans="1:18" x14ac:dyDescent="0.3">
      <c r="A2" s="90"/>
      <c r="B2" s="92"/>
      <c r="C2" s="95"/>
      <c r="D2" s="98"/>
      <c r="E2" s="92" t="s">
        <v>12</v>
      </c>
      <c r="F2" s="103"/>
      <c r="G2" s="103" t="s">
        <v>13</v>
      </c>
      <c r="H2" s="98"/>
      <c r="I2" s="92" t="s">
        <v>12</v>
      </c>
      <c r="J2" s="103"/>
      <c r="K2" s="103" t="s">
        <v>13</v>
      </c>
      <c r="L2" s="98"/>
      <c r="M2" s="22"/>
      <c r="N2" s="23"/>
      <c r="O2" s="22"/>
      <c r="P2" s="23"/>
      <c r="Q2" s="92"/>
      <c r="R2" s="77"/>
    </row>
    <row r="3" spans="1:18" ht="15" thickBot="1" x14ac:dyDescent="0.35">
      <c r="A3" s="90"/>
      <c r="B3" s="93"/>
      <c r="C3" s="96"/>
      <c r="D3" s="99"/>
      <c r="E3" s="11" t="s">
        <v>7</v>
      </c>
      <c r="F3" s="12" t="s">
        <v>8</v>
      </c>
      <c r="G3" s="12" t="s">
        <v>7</v>
      </c>
      <c r="H3" s="13" t="s">
        <v>8</v>
      </c>
      <c r="I3" s="11" t="s">
        <v>7</v>
      </c>
      <c r="J3" s="12" t="s">
        <v>8</v>
      </c>
      <c r="K3" s="12" t="s">
        <v>7</v>
      </c>
      <c r="L3" s="13" t="s">
        <v>8</v>
      </c>
      <c r="M3" s="11" t="s">
        <v>7</v>
      </c>
      <c r="N3" s="13" t="s">
        <v>8</v>
      </c>
      <c r="O3" s="11" t="s">
        <v>7</v>
      </c>
      <c r="P3" s="13"/>
      <c r="Q3" s="92"/>
      <c r="R3" s="77"/>
    </row>
    <row r="4" spans="1:18" x14ac:dyDescent="0.3">
      <c r="A4" s="90"/>
      <c r="B4" s="78" t="s">
        <v>37</v>
      </c>
      <c r="C4" s="81">
        <v>2E-3</v>
      </c>
      <c r="D4" s="36">
        <v>1</v>
      </c>
      <c r="E4" s="8">
        <v>2.9999999999999997E-4</v>
      </c>
      <c r="F4" s="9">
        <v>1.2999999999999999E-3</v>
      </c>
      <c r="G4" s="9">
        <v>0.34960000000000002</v>
      </c>
      <c r="H4" s="10">
        <v>0.1835</v>
      </c>
      <c r="I4" s="8">
        <v>7.3000000000000001E-3</v>
      </c>
      <c r="J4" s="9">
        <v>7.7000000000000002E-3</v>
      </c>
      <c r="K4" s="9">
        <v>2.5552999999999999</v>
      </c>
      <c r="L4" s="10">
        <v>1.1896</v>
      </c>
      <c r="M4" s="8">
        <v>0.01</v>
      </c>
      <c r="N4" s="10">
        <v>2E-3</v>
      </c>
      <c r="O4" s="8">
        <v>3.0000000000000001E-3</v>
      </c>
      <c r="P4" s="10"/>
    </row>
    <row r="5" spans="1:18" x14ac:dyDescent="0.3">
      <c r="A5" s="90"/>
      <c r="B5" s="88"/>
      <c r="C5" s="82"/>
      <c r="D5" s="37">
        <v>2</v>
      </c>
      <c r="E5" s="8">
        <v>1E-4</v>
      </c>
      <c r="F5" s="9">
        <v>1.2999999999999999E-3</v>
      </c>
      <c r="G5" s="9">
        <v>0.33539999999999998</v>
      </c>
      <c r="H5" s="10">
        <v>0.1797</v>
      </c>
      <c r="I5" s="8">
        <v>7.4000000000000003E-3</v>
      </c>
      <c r="J5" s="9">
        <v>7.7000000000000002E-3</v>
      </c>
      <c r="K5" s="9">
        <v>2.5543</v>
      </c>
      <c r="L5" s="10">
        <v>1.1941999999999999</v>
      </c>
      <c r="M5" s="8">
        <v>0.01</v>
      </c>
      <c r="N5" s="10">
        <v>2E-3</v>
      </c>
      <c r="O5" s="8">
        <v>3.0000000000000001E-3</v>
      </c>
      <c r="P5" s="10"/>
    </row>
    <row r="6" spans="1:18" x14ac:dyDescent="0.3">
      <c r="A6" s="90"/>
      <c r="B6" s="88"/>
      <c r="C6" s="82"/>
      <c r="D6" s="37">
        <v>4</v>
      </c>
      <c r="E6" s="8">
        <v>2.0000000000000001E-4</v>
      </c>
      <c r="F6" s="9">
        <v>1.2999999999999999E-3</v>
      </c>
      <c r="G6" s="9">
        <v>0.33139999999999997</v>
      </c>
      <c r="H6" s="10">
        <v>0.1804</v>
      </c>
      <c r="I6" s="8">
        <v>7.4000000000000003E-3</v>
      </c>
      <c r="J6" s="9">
        <v>7.7000000000000002E-3</v>
      </c>
      <c r="K6" s="9">
        <v>2.5480999999999998</v>
      </c>
      <c r="L6" s="10">
        <v>1.1941999999999999</v>
      </c>
      <c r="M6" s="8">
        <v>0.01</v>
      </c>
      <c r="N6" s="10">
        <v>5.0000000000000001E-3</v>
      </c>
      <c r="O6" s="8">
        <v>3.0000000000000001E-3</v>
      </c>
      <c r="P6" s="10"/>
    </row>
    <row r="7" spans="1:18" x14ac:dyDescent="0.3">
      <c r="A7" s="90"/>
      <c r="B7" s="88"/>
      <c r="C7" s="82"/>
      <c r="D7" s="37">
        <v>6</v>
      </c>
      <c r="E7" s="8">
        <v>0</v>
      </c>
      <c r="F7" s="9">
        <v>1.1999999999999999E-3</v>
      </c>
      <c r="G7" s="9">
        <v>0.3322</v>
      </c>
      <c r="H7" s="10">
        <v>0.1709</v>
      </c>
      <c r="I7" s="8">
        <v>7.4999999999999997E-3</v>
      </c>
      <c r="J7" s="9">
        <v>7.7000000000000002E-3</v>
      </c>
      <c r="K7" s="9">
        <v>2.5215999999999998</v>
      </c>
      <c r="L7" s="10">
        <v>1.2223999999999999</v>
      </c>
      <c r="M7" s="8">
        <v>0.01</v>
      </c>
      <c r="N7" s="10">
        <v>5.0000000000000001E-3</v>
      </c>
      <c r="O7" s="8">
        <v>3.0000000000000001E-3</v>
      </c>
      <c r="P7" s="10"/>
    </row>
    <row r="8" spans="1:18" x14ac:dyDescent="0.3">
      <c r="A8" s="90"/>
      <c r="B8" s="88"/>
      <c r="C8" s="82"/>
      <c r="D8" s="37">
        <v>8</v>
      </c>
      <c r="E8" s="8">
        <v>2.9999999999999997E-4</v>
      </c>
      <c r="F8" s="9">
        <v>1.5E-3</v>
      </c>
      <c r="G8" s="9">
        <v>0.34399999999999997</v>
      </c>
      <c r="H8" s="10">
        <v>0.20660000000000001</v>
      </c>
      <c r="I8" s="8">
        <v>7.3000000000000001E-3</v>
      </c>
      <c r="J8" s="9">
        <v>7.7000000000000002E-3</v>
      </c>
      <c r="K8" s="9">
        <v>2.5411999999999999</v>
      </c>
      <c r="L8" s="10">
        <v>1.2276</v>
      </c>
      <c r="M8" s="8">
        <v>1.0999999999999999E-2</v>
      </c>
      <c r="N8" s="10">
        <v>5.0000000000000001E-3</v>
      </c>
      <c r="O8" s="8">
        <v>3.0000000000000001E-3</v>
      </c>
      <c r="P8" s="10"/>
    </row>
    <row r="9" spans="1:18" x14ac:dyDescent="0.3">
      <c r="A9" s="90"/>
      <c r="B9" s="88"/>
      <c r="C9" s="82"/>
      <c r="D9" s="37">
        <v>10</v>
      </c>
      <c r="E9" s="8">
        <v>5.0000000000000001E-4</v>
      </c>
      <c r="F9" s="9">
        <v>1.2999999999999999E-3</v>
      </c>
      <c r="G9" s="9">
        <v>0.32240000000000002</v>
      </c>
      <c r="H9" s="10">
        <v>0.16889999999999999</v>
      </c>
      <c r="I9" s="8">
        <v>7.1999999999999998E-3</v>
      </c>
      <c r="J9" s="9">
        <v>7.6E-3</v>
      </c>
      <c r="K9" s="9">
        <v>2.4958999999999998</v>
      </c>
      <c r="L9" s="10">
        <v>1.2355</v>
      </c>
      <c r="M9" s="8">
        <v>1.0999999999999999E-2</v>
      </c>
      <c r="N9" s="10">
        <v>6.0000000000000001E-3</v>
      </c>
      <c r="O9" s="8">
        <v>3.0000000000000001E-3</v>
      </c>
      <c r="P9" s="10"/>
    </row>
    <row r="10" spans="1:18" ht="15" thickBot="1" x14ac:dyDescent="0.35">
      <c r="A10" s="90"/>
      <c r="B10" s="88"/>
      <c r="C10" s="102"/>
      <c r="D10" s="38">
        <v>15</v>
      </c>
      <c r="E10" s="11">
        <v>5.9999999999999995E-4</v>
      </c>
      <c r="F10" s="12">
        <v>1.1999999999999999E-3</v>
      </c>
      <c r="G10" s="12">
        <v>0.32700000000000001</v>
      </c>
      <c r="H10" s="13">
        <v>0.15260000000000001</v>
      </c>
      <c r="I10" s="11">
        <v>7.1000000000000004E-3</v>
      </c>
      <c r="J10" s="12">
        <v>7.6E-3</v>
      </c>
      <c r="K10" s="12">
        <v>2.4537</v>
      </c>
      <c r="L10" s="13">
        <v>1.24</v>
      </c>
      <c r="M10" s="11">
        <v>1.0999999999999999E-2</v>
      </c>
      <c r="N10" s="13">
        <v>5.0000000000000001E-3</v>
      </c>
      <c r="O10" s="11">
        <v>3.0000000000000001E-3</v>
      </c>
      <c r="P10" s="13"/>
    </row>
    <row r="11" spans="1:18" x14ac:dyDescent="0.3">
      <c r="A11" s="90"/>
      <c r="B11" s="88"/>
      <c r="C11" s="81">
        <v>4.0000000000000001E-3</v>
      </c>
      <c r="D11" s="36">
        <v>1</v>
      </c>
      <c r="E11" s="14">
        <v>4.0000000000000002E-4</v>
      </c>
      <c r="F11" s="15">
        <v>1.2999999999999999E-3</v>
      </c>
      <c r="G11" s="15">
        <v>0.35799999999999998</v>
      </c>
      <c r="H11" s="16">
        <v>0.19289999999999999</v>
      </c>
      <c r="I11" s="14">
        <v>1.3100000000000001E-2</v>
      </c>
      <c r="J11" s="15">
        <v>1.0800000000000001E-2</v>
      </c>
      <c r="K11" s="15">
        <v>2.855</v>
      </c>
      <c r="L11" s="16">
        <v>1.0322</v>
      </c>
      <c r="M11" s="14">
        <v>1.2999999999999999E-2</v>
      </c>
      <c r="N11" s="16">
        <v>5.0000000000000001E-3</v>
      </c>
      <c r="O11" s="8">
        <v>4.0000000000000001E-3</v>
      </c>
      <c r="P11" s="10"/>
      <c r="R11">
        <f>M11*1000</f>
        <v>13</v>
      </c>
    </row>
    <row r="12" spans="1:18" x14ac:dyDescent="0.3">
      <c r="A12" s="90"/>
      <c r="B12" s="88"/>
      <c r="C12" s="82"/>
      <c r="D12" s="37">
        <v>2</v>
      </c>
      <c r="E12" s="8">
        <v>2.0000000000000001E-4</v>
      </c>
      <c r="F12" s="9">
        <v>1.2999999999999999E-3</v>
      </c>
      <c r="G12" s="9">
        <v>0.3453</v>
      </c>
      <c r="H12" s="10">
        <v>0.1832</v>
      </c>
      <c r="I12" s="8">
        <v>1.32E-2</v>
      </c>
      <c r="J12" s="9">
        <v>1.0800000000000001E-2</v>
      </c>
      <c r="K12" s="9">
        <v>2.8620000000000001</v>
      </c>
      <c r="L12" s="10">
        <v>1.0325</v>
      </c>
      <c r="M12" s="8">
        <v>1.2999999999999999E-2</v>
      </c>
      <c r="N12" s="10">
        <v>5.0000000000000001E-3</v>
      </c>
      <c r="O12" s="8">
        <v>4.0000000000000001E-3</v>
      </c>
      <c r="P12" s="10"/>
      <c r="R12">
        <f t="shared" ref="R12:R24" si="0">M12*1000</f>
        <v>13</v>
      </c>
    </row>
    <row r="13" spans="1:18" x14ac:dyDescent="0.3">
      <c r="A13" s="90"/>
      <c r="B13" s="88"/>
      <c r="C13" s="82"/>
      <c r="D13" s="37">
        <v>4</v>
      </c>
      <c r="E13" s="8">
        <v>2.9999999999999997E-4</v>
      </c>
      <c r="F13" s="9">
        <v>1.2999999999999999E-3</v>
      </c>
      <c r="G13" s="9">
        <v>0.34799999999999998</v>
      </c>
      <c r="H13" s="10">
        <v>0.2</v>
      </c>
      <c r="I13" s="8">
        <v>1.3100000000000001E-2</v>
      </c>
      <c r="J13" s="9">
        <v>1.0800000000000001E-2</v>
      </c>
      <c r="K13" s="9">
        <v>2.8448000000000002</v>
      </c>
      <c r="L13" s="10">
        <v>1.0507</v>
      </c>
      <c r="M13" s="8">
        <v>1.2999999999999999E-2</v>
      </c>
      <c r="N13" s="10">
        <v>5.0000000000000001E-3</v>
      </c>
      <c r="O13" s="8">
        <v>4.0000000000000001E-3</v>
      </c>
      <c r="P13" s="10"/>
      <c r="R13">
        <f t="shared" si="0"/>
        <v>13</v>
      </c>
    </row>
    <row r="14" spans="1:18" x14ac:dyDescent="0.3">
      <c r="A14" s="90"/>
      <c r="B14" s="88"/>
      <c r="C14" s="82"/>
      <c r="D14" s="37">
        <v>6</v>
      </c>
      <c r="E14" s="8">
        <v>2.0000000000000001E-4</v>
      </c>
      <c r="F14" s="9">
        <v>1.1999999999999999E-3</v>
      </c>
      <c r="G14" s="9">
        <v>0.34150000000000003</v>
      </c>
      <c r="H14" s="10">
        <v>0.18559999999999999</v>
      </c>
      <c r="I14" s="8">
        <v>1.3299999999999999E-2</v>
      </c>
      <c r="J14" s="9">
        <v>1.0800000000000001E-2</v>
      </c>
      <c r="K14" s="9">
        <v>2.8603999999999998</v>
      </c>
      <c r="L14" s="10">
        <v>1.0678000000000001</v>
      </c>
      <c r="M14" s="8">
        <v>1.2999999999999999E-2</v>
      </c>
      <c r="N14" s="10">
        <v>5.0000000000000001E-3</v>
      </c>
      <c r="O14" s="8">
        <v>4.0000000000000001E-3</v>
      </c>
      <c r="P14" s="10"/>
      <c r="R14">
        <f t="shared" si="0"/>
        <v>13</v>
      </c>
    </row>
    <row r="15" spans="1:18" x14ac:dyDescent="0.3">
      <c r="A15" s="90"/>
      <c r="B15" s="88"/>
      <c r="C15" s="82"/>
      <c r="D15" s="37">
        <v>8</v>
      </c>
      <c r="E15" s="8">
        <v>2.9999999999999997E-4</v>
      </c>
      <c r="F15" s="9">
        <v>1.4E-3</v>
      </c>
      <c r="G15" s="9">
        <v>0.35199999999999998</v>
      </c>
      <c r="H15" s="10">
        <v>0.2</v>
      </c>
      <c r="I15" s="8">
        <v>1.3100000000000001E-2</v>
      </c>
      <c r="J15" s="9">
        <v>1.0800000000000001E-2</v>
      </c>
      <c r="K15" s="9">
        <v>2.8355000000000001</v>
      </c>
      <c r="L15" s="10">
        <v>1.0648</v>
      </c>
      <c r="M15" s="8">
        <v>1.4E-2</v>
      </c>
      <c r="N15" s="10">
        <v>6.0000000000000001E-3</v>
      </c>
      <c r="O15" s="8">
        <v>4.0000000000000001E-3</v>
      </c>
      <c r="P15" s="10"/>
      <c r="R15">
        <f t="shared" si="0"/>
        <v>14</v>
      </c>
    </row>
    <row r="16" spans="1:18" x14ac:dyDescent="0.3">
      <c r="A16" s="90"/>
      <c r="B16" s="88"/>
      <c r="C16" s="82"/>
      <c r="D16" s="37">
        <v>10</v>
      </c>
      <c r="E16" s="8">
        <v>5.0000000000000001E-4</v>
      </c>
      <c r="F16" s="9">
        <v>1.4E-3</v>
      </c>
      <c r="G16" s="9">
        <v>0.34399999999999997</v>
      </c>
      <c r="H16" s="10">
        <v>0.1883</v>
      </c>
      <c r="I16" s="8">
        <v>1.29E-2</v>
      </c>
      <c r="J16" s="9">
        <v>1.0699999999999999E-2</v>
      </c>
      <c r="K16" s="9">
        <v>2.7959999999999998</v>
      </c>
      <c r="L16" s="10">
        <v>1.0657000000000001</v>
      </c>
      <c r="M16" s="8">
        <v>1.4E-2</v>
      </c>
      <c r="N16" s="10">
        <v>6.0000000000000001E-3</v>
      </c>
      <c r="O16" s="8">
        <v>4.0000000000000001E-3</v>
      </c>
      <c r="P16" s="10"/>
      <c r="R16">
        <f t="shared" si="0"/>
        <v>14</v>
      </c>
    </row>
    <row r="17" spans="1:18" ht="15" thickBot="1" x14ac:dyDescent="0.35">
      <c r="A17" s="90"/>
      <c r="B17" s="88"/>
      <c r="C17" s="102"/>
      <c r="D17" s="38">
        <v>15</v>
      </c>
      <c r="E17" s="17">
        <v>6.9999999999999999E-4</v>
      </c>
      <c r="F17" s="18">
        <v>1.2999999999999999E-3</v>
      </c>
      <c r="G17" s="18">
        <v>0.3533</v>
      </c>
      <c r="H17" s="19">
        <v>0.16520000000000001</v>
      </c>
      <c r="I17" s="17">
        <v>1.2800000000000001E-2</v>
      </c>
      <c r="J17" s="18">
        <v>1.0800000000000001E-2</v>
      </c>
      <c r="K17" s="18">
        <v>2.7643</v>
      </c>
      <c r="L17" s="19">
        <v>1.1120000000000001</v>
      </c>
      <c r="M17" s="11">
        <v>1.4E-2</v>
      </c>
      <c r="N17" s="13">
        <v>6.0000000000000001E-3</v>
      </c>
      <c r="O17" s="11">
        <v>4.0000000000000001E-3</v>
      </c>
      <c r="P17" s="13"/>
      <c r="R17">
        <f t="shared" si="0"/>
        <v>14</v>
      </c>
    </row>
    <row r="18" spans="1:18" x14ac:dyDescent="0.3">
      <c r="A18" s="90"/>
      <c r="B18" s="81" t="s">
        <v>38</v>
      </c>
      <c r="C18" s="81">
        <v>4.0000000000000001E-3</v>
      </c>
      <c r="D18" s="36">
        <v>1</v>
      </c>
      <c r="E18" s="28">
        <v>2.0000000000000001E-4</v>
      </c>
      <c r="F18" s="15">
        <v>1.6000000000000001E-3</v>
      </c>
      <c r="G18" s="29">
        <v>0.41710000000000003</v>
      </c>
      <c r="H18" s="33">
        <v>0.251</v>
      </c>
      <c r="I18" s="15">
        <v>-7.1999999999999998E-3</v>
      </c>
      <c r="J18" s="15">
        <v>1.21E-2</v>
      </c>
      <c r="K18" s="15">
        <v>4.7979000000000003</v>
      </c>
      <c r="L18" s="15">
        <v>1.7241</v>
      </c>
      <c r="M18" s="28">
        <v>1.0999999999999999E-2</v>
      </c>
      <c r="N18" s="33">
        <v>5.0000000000000001E-3</v>
      </c>
      <c r="O18" s="29">
        <v>4.0000000000000001E-3</v>
      </c>
      <c r="P18" s="16"/>
      <c r="R18">
        <f t="shared" si="0"/>
        <v>11</v>
      </c>
    </row>
    <row r="19" spans="1:18" x14ac:dyDescent="0.3">
      <c r="A19" s="90"/>
      <c r="B19" s="82"/>
      <c r="C19" s="82"/>
      <c r="D19" s="37">
        <v>2</v>
      </c>
      <c r="E19" s="30">
        <v>2.9999999999999997E-4</v>
      </c>
      <c r="F19" s="9">
        <v>1.6000000000000001E-3</v>
      </c>
      <c r="G19" s="27">
        <v>0.41299999999999998</v>
      </c>
      <c r="H19" s="34">
        <v>0.2445</v>
      </c>
      <c r="I19" s="9"/>
      <c r="J19" s="9"/>
      <c r="K19" s="9"/>
      <c r="L19" s="9"/>
      <c r="M19" s="30">
        <v>1.0999999999999999E-2</v>
      </c>
      <c r="N19" s="34">
        <v>5.0000000000000001E-3</v>
      </c>
      <c r="O19" s="27">
        <v>4.0000000000000001E-3</v>
      </c>
      <c r="P19" s="10"/>
      <c r="R19">
        <f t="shared" si="0"/>
        <v>11</v>
      </c>
    </row>
    <row r="20" spans="1:18" x14ac:dyDescent="0.3">
      <c r="A20" s="90"/>
      <c r="B20" s="82"/>
      <c r="C20" s="82"/>
      <c r="D20" s="37">
        <v>4</v>
      </c>
      <c r="E20" s="30">
        <v>2.0000000000000001E-4</v>
      </c>
      <c r="F20" s="9">
        <v>1.6000000000000001E-3</v>
      </c>
      <c r="G20" s="27">
        <v>0.41449999999999998</v>
      </c>
      <c r="H20" s="34">
        <v>0.22520000000000001</v>
      </c>
      <c r="I20" s="9"/>
      <c r="J20" s="9"/>
      <c r="K20" s="9"/>
      <c r="L20" s="9"/>
      <c r="M20" s="30">
        <v>1.0999999999999999E-2</v>
      </c>
      <c r="N20" s="34">
        <v>5.0000000000000001E-3</v>
      </c>
      <c r="O20" s="27">
        <v>4.0000000000000001E-3</v>
      </c>
      <c r="P20" s="10"/>
      <c r="R20">
        <f t="shared" si="0"/>
        <v>11</v>
      </c>
    </row>
    <row r="21" spans="1:18" x14ac:dyDescent="0.3">
      <c r="A21" s="90"/>
      <c r="B21" s="82"/>
      <c r="C21" s="82"/>
      <c r="D21" s="37">
        <v>6</v>
      </c>
      <c r="E21" s="30">
        <v>1E-4</v>
      </c>
      <c r="F21" s="9">
        <v>1.6000000000000001E-3</v>
      </c>
      <c r="G21" s="27">
        <v>0.3861</v>
      </c>
      <c r="H21" s="34">
        <v>0.24709999999999999</v>
      </c>
      <c r="I21" s="9"/>
      <c r="J21" s="9"/>
      <c r="K21" s="9"/>
      <c r="L21" s="9"/>
      <c r="M21" s="30">
        <v>1.0999999999999999E-2</v>
      </c>
      <c r="N21" s="34">
        <v>5.0000000000000001E-3</v>
      </c>
      <c r="O21" s="27">
        <v>4.0000000000000001E-3</v>
      </c>
      <c r="P21" s="10"/>
      <c r="R21">
        <f t="shared" si="0"/>
        <v>11</v>
      </c>
    </row>
    <row r="22" spans="1:18" x14ac:dyDescent="0.3">
      <c r="A22" s="90"/>
      <c r="B22" s="82"/>
      <c r="C22" s="82"/>
      <c r="D22" s="37">
        <v>8</v>
      </c>
      <c r="E22" s="30">
        <v>-2.0000000000000001E-4</v>
      </c>
      <c r="F22" s="9">
        <v>1.6000000000000001E-3</v>
      </c>
      <c r="G22" s="27">
        <v>0.42880000000000001</v>
      </c>
      <c r="H22" s="34">
        <v>0.23860000000000001</v>
      </c>
      <c r="I22" s="9"/>
      <c r="J22" s="9"/>
      <c r="K22" s="9"/>
      <c r="L22" s="9"/>
      <c r="M22" s="30">
        <v>1.0999999999999999E-2</v>
      </c>
      <c r="N22" s="34">
        <v>5.0000000000000001E-3</v>
      </c>
      <c r="O22" s="27">
        <v>4.0000000000000001E-3</v>
      </c>
      <c r="P22" s="10"/>
      <c r="R22">
        <f t="shared" si="0"/>
        <v>11</v>
      </c>
    </row>
    <row r="23" spans="1:18" x14ac:dyDescent="0.3">
      <c r="A23" s="90"/>
      <c r="B23" s="82"/>
      <c r="C23" s="82"/>
      <c r="D23" s="37">
        <v>10</v>
      </c>
      <c r="E23" s="30">
        <v>0</v>
      </c>
      <c r="F23" s="9">
        <v>1.6000000000000001E-3</v>
      </c>
      <c r="G23" s="27">
        <v>0.37819999999999998</v>
      </c>
      <c r="H23" s="34">
        <v>0.22090000000000001</v>
      </c>
      <c r="I23" s="9"/>
      <c r="J23" s="9"/>
      <c r="K23" s="9"/>
      <c r="L23" s="9"/>
      <c r="M23" s="30">
        <v>1.0999999999999999E-2</v>
      </c>
      <c r="N23" s="34">
        <v>5.0000000000000001E-3</v>
      </c>
      <c r="O23" s="27">
        <v>4.0000000000000001E-3</v>
      </c>
      <c r="P23" s="10"/>
      <c r="R23">
        <f t="shared" si="0"/>
        <v>11</v>
      </c>
    </row>
    <row r="24" spans="1:18" ht="15" thickBot="1" x14ac:dyDescent="0.35">
      <c r="A24" s="90"/>
      <c r="B24" s="102"/>
      <c r="C24" s="102"/>
      <c r="D24" s="38">
        <v>15</v>
      </c>
      <c r="E24" s="31">
        <v>-5.9999999999999995E-4</v>
      </c>
      <c r="F24" s="12">
        <v>1.6000000000000001E-3</v>
      </c>
      <c r="G24" s="32">
        <v>0.38100000000000001</v>
      </c>
      <c r="H24" s="35">
        <v>0.25069999999999998</v>
      </c>
      <c r="I24" s="12"/>
      <c r="J24" s="12"/>
      <c r="K24" s="12"/>
      <c r="L24" s="12"/>
      <c r="M24" s="31">
        <v>1.0999999999999999E-2</v>
      </c>
      <c r="N24" s="35">
        <v>5.0000000000000001E-3</v>
      </c>
      <c r="O24" s="32">
        <v>4.0000000000000001E-3</v>
      </c>
      <c r="P24" s="13"/>
      <c r="R24">
        <f t="shared" si="0"/>
        <v>11</v>
      </c>
    </row>
    <row r="25" spans="1:18" ht="15" thickBot="1" x14ac:dyDescent="0.35"/>
    <row r="26" spans="1:18" x14ac:dyDescent="0.3">
      <c r="A26" t="s">
        <v>6</v>
      </c>
      <c r="B26" s="78">
        <v>14</v>
      </c>
      <c r="C26" s="81">
        <v>2E-3</v>
      </c>
      <c r="D26" s="36" t="s">
        <v>25</v>
      </c>
      <c r="E26" s="14">
        <v>4.0000000000000002E-4</v>
      </c>
      <c r="F26" s="15">
        <v>1.5E-3</v>
      </c>
      <c r="G26" s="15">
        <v>0.38479999999999998</v>
      </c>
      <c r="H26" s="16">
        <v>0.2223</v>
      </c>
      <c r="I26" s="14">
        <v>1.23E-2</v>
      </c>
      <c r="J26" s="15">
        <v>1.12E-2</v>
      </c>
      <c r="K26" s="15">
        <v>2.5091000000000001</v>
      </c>
      <c r="L26" s="16">
        <v>0.50990000000000002</v>
      </c>
      <c r="M26" s="14">
        <v>1.2999999999999999E-2</v>
      </c>
      <c r="N26" s="16">
        <v>4.0000000000000001E-3</v>
      </c>
      <c r="O26" s="36">
        <v>2.5000000000000001E-3</v>
      </c>
      <c r="P26" s="16"/>
    </row>
    <row r="27" spans="1:18" x14ac:dyDescent="0.3">
      <c r="B27" s="88"/>
      <c r="C27" s="82"/>
      <c r="D27" s="37">
        <v>2</v>
      </c>
      <c r="E27" s="8">
        <v>4.0000000000000002E-4</v>
      </c>
      <c r="F27" s="9">
        <v>1.6000000000000001E-3</v>
      </c>
      <c r="G27" s="9">
        <v>0.3866</v>
      </c>
      <c r="H27" s="10">
        <v>0.22389999999999999</v>
      </c>
      <c r="I27" s="8">
        <v>1.23E-2</v>
      </c>
      <c r="J27" s="9">
        <v>1.12E-2</v>
      </c>
      <c r="K27" s="9">
        <v>2.5057999999999998</v>
      </c>
      <c r="L27" s="10">
        <v>0.50649999999999995</v>
      </c>
      <c r="M27" s="8">
        <v>1.2999999999999999E-2</v>
      </c>
      <c r="N27" s="10">
        <v>4.0000000000000001E-3</v>
      </c>
      <c r="O27" s="37">
        <v>2.5000000000000001E-3</v>
      </c>
      <c r="P27" s="10"/>
    </row>
    <row r="28" spans="1:18" x14ac:dyDescent="0.3">
      <c r="B28" s="88"/>
      <c r="C28" s="82"/>
      <c r="D28" s="37">
        <v>4</v>
      </c>
      <c r="E28" s="8">
        <v>5.9999999999999995E-4</v>
      </c>
      <c r="F28" s="9">
        <v>1.6000000000000001E-3</v>
      </c>
      <c r="G28" s="9">
        <v>0.39710000000000001</v>
      </c>
      <c r="H28" s="10">
        <v>0.22370000000000001</v>
      </c>
      <c r="I28" s="8">
        <v>1.24E-2</v>
      </c>
      <c r="J28" s="9">
        <v>1.11E-2</v>
      </c>
      <c r="K28" s="9">
        <v>2.4965999999999999</v>
      </c>
      <c r="L28" s="10">
        <v>0.52629999999999999</v>
      </c>
      <c r="M28" s="8">
        <v>1.2E-2</v>
      </c>
      <c r="N28" s="10">
        <v>4.0000000000000001E-3</v>
      </c>
      <c r="O28" s="37">
        <v>2.5000000000000001E-3</v>
      </c>
      <c r="P28" s="10"/>
    </row>
    <row r="29" spans="1:18" x14ac:dyDescent="0.3">
      <c r="B29" s="88"/>
      <c r="C29" s="82"/>
      <c r="D29" s="37">
        <v>6</v>
      </c>
      <c r="E29" s="8">
        <v>4.0000000000000002E-4</v>
      </c>
      <c r="F29" s="9">
        <v>1.5E-3</v>
      </c>
      <c r="G29" s="9">
        <v>0.39179999999999998</v>
      </c>
      <c r="H29" s="10">
        <v>0.2266</v>
      </c>
      <c r="I29" s="8">
        <v>1.21E-2</v>
      </c>
      <c r="J29" s="9">
        <v>1.12E-2</v>
      </c>
      <c r="K29" s="9">
        <v>2.5085999999999999</v>
      </c>
      <c r="L29" s="10">
        <v>0.52690000000000003</v>
      </c>
      <c r="M29" s="8">
        <v>1.2E-2</v>
      </c>
      <c r="N29" s="10">
        <v>6.0000000000000001E-3</v>
      </c>
      <c r="O29" s="37">
        <v>2.5000000000000001E-3</v>
      </c>
      <c r="P29" s="10"/>
    </row>
    <row r="30" spans="1:18" x14ac:dyDescent="0.3">
      <c r="B30" s="88"/>
      <c r="C30" s="82"/>
      <c r="D30" s="37">
        <v>8</v>
      </c>
      <c r="E30" s="8">
        <v>5.9999999999999995E-4</v>
      </c>
      <c r="F30" s="9">
        <v>1.6999999999999999E-3</v>
      </c>
      <c r="G30" s="9">
        <v>0.4052</v>
      </c>
      <c r="H30" s="10">
        <v>0.247</v>
      </c>
      <c r="I30" s="8">
        <v>1.23E-2</v>
      </c>
      <c r="J30" s="9">
        <v>1.12E-2</v>
      </c>
      <c r="K30" s="9">
        <v>2.4992000000000001</v>
      </c>
      <c r="L30" s="10">
        <v>0.54790000000000005</v>
      </c>
      <c r="M30" s="8">
        <v>1.2999999999999999E-2</v>
      </c>
      <c r="N30" s="10">
        <v>5.0000000000000001E-3</v>
      </c>
      <c r="O30" s="37">
        <v>2.5999999999999999E-3</v>
      </c>
      <c r="P30" s="10"/>
    </row>
    <row r="31" spans="1:18" x14ac:dyDescent="0.3">
      <c r="B31" s="88"/>
      <c r="C31" s="82"/>
      <c r="D31" s="37">
        <v>10</v>
      </c>
      <c r="E31" s="8">
        <v>8.9999999999999998E-4</v>
      </c>
      <c r="F31" s="9">
        <v>1.6999999999999999E-3</v>
      </c>
      <c r="G31" s="9">
        <v>0.38269999999999998</v>
      </c>
      <c r="H31" s="10">
        <v>0.18970000000000001</v>
      </c>
      <c r="I31" s="8">
        <v>1.2200000000000001E-2</v>
      </c>
      <c r="J31" s="9">
        <v>1.11E-2</v>
      </c>
      <c r="K31" s="9">
        <v>2.4373</v>
      </c>
      <c r="L31" s="10">
        <v>0.60070000000000001</v>
      </c>
      <c r="M31" s="8">
        <v>1.2999999999999999E-2</v>
      </c>
      <c r="N31" s="10">
        <v>4.0000000000000001E-3</v>
      </c>
      <c r="O31" s="37">
        <v>2.5000000000000001E-3</v>
      </c>
      <c r="P31" s="10"/>
    </row>
    <row r="32" spans="1:18" ht="15" thickBot="1" x14ac:dyDescent="0.35">
      <c r="B32" s="88"/>
      <c r="C32" s="102"/>
      <c r="D32" s="38">
        <v>15</v>
      </c>
      <c r="E32" s="11">
        <v>5.0000000000000001E-4</v>
      </c>
      <c r="F32" s="12">
        <v>1.6999999999999999E-3</v>
      </c>
      <c r="G32" s="12">
        <v>0.39979999999999999</v>
      </c>
      <c r="H32" s="13">
        <v>0.24329999999999999</v>
      </c>
      <c r="I32" s="11">
        <v>1.14E-2</v>
      </c>
      <c r="J32" s="12">
        <v>1.14E-2</v>
      </c>
      <c r="K32" s="12">
        <v>2.4441999999999999</v>
      </c>
      <c r="L32" s="13">
        <v>0.68100000000000005</v>
      </c>
      <c r="M32" s="11">
        <v>1.2999999999999999E-2</v>
      </c>
      <c r="N32" s="13">
        <v>5.0000000000000001E-3</v>
      </c>
      <c r="O32" s="38">
        <v>2.5000000000000001E-3</v>
      </c>
      <c r="P32" s="10"/>
    </row>
    <row r="33" spans="2:27" x14ac:dyDescent="0.3">
      <c r="B33" s="88"/>
      <c r="C33" s="81">
        <v>4.0000000000000001E-3</v>
      </c>
      <c r="D33" s="36" t="s">
        <v>25</v>
      </c>
      <c r="E33" s="14">
        <v>5.0000000000000001E-4</v>
      </c>
      <c r="F33" s="15">
        <v>1.6000000000000001E-3</v>
      </c>
      <c r="G33" s="15">
        <v>0.39610000000000001</v>
      </c>
      <c r="H33" s="16">
        <v>0.23530000000000001</v>
      </c>
      <c r="I33" s="14">
        <v>1.9199999999999998E-2</v>
      </c>
      <c r="J33" s="15">
        <v>1.5299999999999999E-2</v>
      </c>
      <c r="K33" s="15">
        <v>2.7307999999999999</v>
      </c>
      <c r="L33" s="16">
        <v>0.68959999999999999</v>
      </c>
      <c r="M33" s="14">
        <v>1.7999999999999999E-2</v>
      </c>
      <c r="N33" s="16">
        <v>6.0000000000000001E-3</v>
      </c>
      <c r="O33" s="36">
        <v>6.0000000000000001E-3</v>
      </c>
      <c r="P33" s="10"/>
    </row>
    <row r="34" spans="2:27" x14ac:dyDescent="0.3">
      <c r="B34" s="88"/>
      <c r="C34" s="82"/>
      <c r="D34" s="37">
        <v>2</v>
      </c>
      <c r="E34" s="8">
        <v>5.0000000000000001E-4</v>
      </c>
      <c r="F34" s="9">
        <v>1.6999999999999999E-3</v>
      </c>
      <c r="G34" s="9">
        <v>0.4022</v>
      </c>
      <c r="H34" s="10">
        <v>0.2324</v>
      </c>
      <c r="I34" s="8">
        <v>1.9199999999999998E-2</v>
      </c>
      <c r="J34" s="9">
        <v>1.5299999999999999E-2</v>
      </c>
      <c r="K34" s="9">
        <v>2.7341000000000002</v>
      </c>
      <c r="L34" s="10">
        <v>0.68620000000000003</v>
      </c>
      <c r="M34" s="8">
        <v>1.9E-2</v>
      </c>
      <c r="N34" s="10">
        <v>7.0000000000000001E-3</v>
      </c>
      <c r="O34" s="37">
        <v>6.0000000000000001E-3</v>
      </c>
      <c r="P34" s="10"/>
    </row>
    <row r="35" spans="2:27" x14ac:dyDescent="0.3">
      <c r="B35" s="88"/>
      <c r="C35" s="82"/>
      <c r="D35" s="37">
        <v>4</v>
      </c>
      <c r="E35" s="8">
        <v>6.9999999999999999E-4</v>
      </c>
      <c r="F35" s="9">
        <v>1.6999999999999999E-3</v>
      </c>
      <c r="G35" s="9">
        <v>0.41820000000000002</v>
      </c>
      <c r="H35" s="10">
        <v>0.22889999999999999</v>
      </c>
      <c r="I35" s="8">
        <v>1.9300000000000001E-2</v>
      </c>
      <c r="J35" s="9">
        <v>1.5100000000000001E-2</v>
      </c>
      <c r="K35" s="9">
        <v>2.7237</v>
      </c>
      <c r="L35" s="10">
        <v>0.70779999999999998</v>
      </c>
      <c r="M35" s="8">
        <v>1.9E-2</v>
      </c>
      <c r="N35" s="10">
        <v>7.0000000000000001E-3</v>
      </c>
      <c r="O35" s="37">
        <v>6.0000000000000001E-3</v>
      </c>
      <c r="P35" s="10"/>
    </row>
    <row r="36" spans="2:27" x14ac:dyDescent="0.3">
      <c r="B36" s="88"/>
      <c r="C36" s="82"/>
      <c r="D36" s="37">
        <v>6</v>
      </c>
      <c r="E36" s="8">
        <v>5.9999999999999995E-4</v>
      </c>
      <c r="F36" s="9">
        <v>1.6999999999999999E-3</v>
      </c>
      <c r="G36" s="9">
        <v>0.41720000000000002</v>
      </c>
      <c r="H36" s="10">
        <v>0.2336</v>
      </c>
      <c r="I36" s="8">
        <v>1.9099999999999999E-2</v>
      </c>
      <c r="J36" s="9">
        <v>1.5100000000000001E-2</v>
      </c>
      <c r="K36" s="9">
        <v>2.7212999999999998</v>
      </c>
      <c r="L36" s="10">
        <v>0.68869999999999998</v>
      </c>
      <c r="M36" s="8">
        <v>1.9E-2</v>
      </c>
      <c r="N36" s="10">
        <v>7.0000000000000001E-3</v>
      </c>
      <c r="O36" s="37">
        <v>6.0000000000000001E-3</v>
      </c>
      <c r="P36" s="10"/>
    </row>
    <row r="37" spans="2:27" x14ac:dyDescent="0.3">
      <c r="B37" s="88"/>
      <c r="C37" s="82"/>
      <c r="D37" s="37">
        <v>8</v>
      </c>
      <c r="E37" s="8">
        <v>6.9999999999999999E-4</v>
      </c>
      <c r="F37" s="9">
        <v>1.6999999999999999E-3</v>
      </c>
      <c r="G37" s="9">
        <v>0.4128</v>
      </c>
      <c r="H37" s="10">
        <v>0.25059999999999999</v>
      </c>
      <c r="I37" s="8">
        <v>1.9099999999999999E-2</v>
      </c>
      <c r="J37" s="9">
        <v>1.5299999999999999E-2</v>
      </c>
      <c r="K37" s="9">
        <v>2.7037</v>
      </c>
      <c r="L37" s="10">
        <v>0.71930000000000005</v>
      </c>
      <c r="M37" s="8">
        <v>1.7999999999999999E-2</v>
      </c>
      <c r="N37" s="10">
        <v>6.0000000000000001E-3</v>
      </c>
      <c r="O37" s="37">
        <v>6.0000000000000001E-3</v>
      </c>
      <c r="P37" s="10"/>
    </row>
    <row r="38" spans="2:27" x14ac:dyDescent="0.3">
      <c r="B38" s="88"/>
      <c r="C38" s="82"/>
      <c r="D38" s="37">
        <v>10</v>
      </c>
      <c r="E38" s="8">
        <v>1E-4</v>
      </c>
      <c r="F38" s="9">
        <v>1.8E-3</v>
      </c>
      <c r="G38" s="9">
        <v>0.40760000000000002</v>
      </c>
      <c r="H38" s="10">
        <v>0.20610000000000001</v>
      </c>
      <c r="I38" s="8">
        <v>1.8800000000000001E-2</v>
      </c>
      <c r="J38" s="9">
        <v>1.5299999999999999E-2</v>
      </c>
      <c r="K38" s="9">
        <v>2.6844000000000001</v>
      </c>
      <c r="L38" s="10">
        <v>0.80410000000000004</v>
      </c>
      <c r="M38" s="8">
        <v>1.7999999999999999E-2</v>
      </c>
      <c r="N38" s="10">
        <v>6.0000000000000001E-3</v>
      </c>
      <c r="O38" s="37">
        <v>6.0000000000000001E-3</v>
      </c>
      <c r="P38" s="10"/>
    </row>
    <row r="39" spans="2:27" ht="15" thickBot="1" x14ac:dyDescent="0.35">
      <c r="B39" s="101"/>
      <c r="C39" s="102"/>
      <c r="D39" s="38">
        <v>15</v>
      </c>
      <c r="E39" s="11">
        <v>8.0000000000000004E-4</v>
      </c>
      <c r="F39" s="12">
        <v>2.0999999999999999E-3</v>
      </c>
      <c r="G39" s="12">
        <v>0.4345</v>
      </c>
      <c r="H39" s="13">
        <v>0.25659999999999999</v>
      </c>
      <c r="I39" s="11">
        <v>1.8200000000000001E-2</v>
      </c>
      <c r="J39" s="12">
        <v>1.5699999999999999E-2</v>
      </c>
      <c r="K39" s="12">
        <v>2.7075999999999998</v>
      </c>
      <c r="L39" s="13">
        <v>0.87590000000000001</v>
      </c>
      <c r="M39" s="11">
        <v>1.7999999999999999E-2</v>
      </c>
      <c r="N39" s="13">
        <v>6.0000000000000001E-3</v>
      </c>
      <c r="O39" s="38">
        <v>6.0000000000000001E-3</v>
      </c>
      <c r="P39" s="13"/>
    </row>
    <row r="40" spans="2:27" x14ac:dyDescent="0.3">
      <c r="B40" s="78">
        <v>25</v>
      </c>
      <c r="C40" s="79">
        <v>4.0000000000000001E-3</v>
      </c>
      <c r="D40" s="15" t="s">
        <v>25</v>
      </c>
      <c r="E40" s="15">
        <v>2.9999999999999997E-4</v>
      </c>
      <c r="F40" s="15">
        <v>1.6000000000000001E-3</v>
      </c>
      <c r="G40" s="15">
        <v>0.40649999999999997</v>
      </c>
      <c r="H40" s="15">
        <v>0.23100000000000001</v>
      </c>
      <c r="I40" s="15">
        <v>4.7999999999999996E-3</v>
      </c>
      <c r="J40" s="15">
        <v>6.0000000000000001E-3</v>
      </c>
      <c r="K40" s="15">
        <v>3.7330999999999999</v>
      </c>
      <c r="L40" s="15">
        <v>1.6990000000000001</v>
      </c>
      <c r="M40" s="15">
        <v>1.0999999999999999E-2</v>
      </c>
      <c r="N40" s="15">
        <v>5.0000000000000001E-3</v>
      </c>
      <c r="O40" s="15">
        <v>3.0000000000000001E-3</v>
      </c>
      <c r="P40" s="16"/>
    </row>
    <row r="41" spans="2:27" x14ac:dyDescent="0.3">
      <c r="B41" s="88"/>
      <c r="C41" s="87"/>
      <c r="D41" s="9">
        <v>2</v>
      </c>
      <c r="E41" s="27">
        <v>5.0000000000000001E-4</v>
      </c>
      <c r="F41" s="27">
        <v>1.6999999999999999E-3</v>
      </c>
      <c r="G41" s="27">
        <v>0.4022</v>
      </c>
      <c r="H41" s="27">
        <v>0.2324</v>
      </c>
      <c r="I41" s="9"/>
      <c r="J41" s="9"/>
      <c r="K41" s="9"/>
      <c r="L41" s="9"/>
      <c r="M41" s="9"/>
      <c r="N41" s="9"/>
      <c r="O41" s="9"/>
      <c r="P41" s="10"/>
    </row>
    <row r="42" spans="2:27" ht="15" thickBot="1" x14ac:dyDescent="0.35">
      <c r="B42" s="88"/>
      <c r="C42" s="87"/>
      <c r="D42" s="9">
        <v>4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</row>
    <row r="43" spans="2:27" x14ac:dyDescent="0.3">
      <c r="B43" s="88"/>
      <c r="C43" s="87"/>
      <c r="D43" s="9">
        <v>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0"/>
      <c r="X43" s="84" t="s">
        <v>86</v>
      </c>
      <c r="Y43" s="85"/>
      <c r="Z43" s="85"/>
      <c r="AA43" s="86"/>
    </row>
    <row r="44" spans="2:27" x14ac:dyDescent="0.3">
      <c r="B44" s="88"/>
      <c r="C44" s="87"/>
      <c r="D44" s="9">
        <v>8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X44" s="3"/>
      <c r="Y44" s="2" t="s">
        <v>16</v>
      </c>
      <c r="Z44" s="4" t="s">
        <v>19</v>
      </c>
      <c r="AA44" s="4" t="s">
        <v>19</v>
      </c>
    </row>
    <row r="45" spans="2:27" x14ac:dyDescent="0.3">
      <c r="B45" s="88"/>
      <c r="C45" s="87"/>
      <c r="D45" s="9">
        <v>10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0"/>
      <c r="X45" s="3" t="s">
        <v>14</v>
      </c>
      <c r="Y45" s="2" t="s">
        <v>87</v>
      </c>
      <c r="Z45" s="4" t="s">
        <v>89</v>
      </c>
      <c r="AA45" s="4" t="s">
        <v>91</v>
      </c>
    </row>
    <row r="46" spans="2:27" ht="15" thickBot="1" x14ac:dyDescent="0.35">
      <c r="B46" s="101"/>
      <c r="C46" s="100"/>
      <c r="D46" s="12">
        <v>15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X46" s="5" t="s">
        <v>15</v>
      </c>
      <c r="Y46" s="6" t="s">
        <v>88</v>
      </c>
      <c r="Z46" s="7" t="s">
        <v>90</v>
      </c>
      <c r="AA46" s="7" t="s">
        <v>92</v>
      </c>
    </row>
    <row r="47" spans="2:27" ht="15" thickBot="1" x14ac:dyDescent="0.35">
      <c r="B47" s="24"/>
      <c r="C47" s="24"/>
    </row>
    <row r="48" spans="2:27" x14ac:dyDescent="0.3">
      <c r="B48" s="24"/>
      <c r="C48" s="24"/>
      <c r="X48" s="84" t="s">
        <v>18</v>
      </c>
      <c r="Y48" s="85"/>
      <c r="Z48" s="85"/>
      <c r="AA48" s="86"/>
    </row>
    <row r="49" spans="1:29" x14ac:dyDescent="0.3">
      <c r="X49" s="3"/>
      <c r="Y49" s="2" t="s">
        <v>16</v>
      </c>
      <c r="Z49" s="4" t="s">
        <v>19</v>
      </c>
      <c r="AA49" s="4" t="s">
        <v>17</v>
      </c>
    </row>
    <row r="50" spans="1:29" x14ac:dyDescent="0.3">
      <c r="E50">
        <f>AVERAGE(E18,E40)*1000</f>
        <v>0.25</v>
      </c>
      <c r="F50">
        <f>AVERAGE(F18,F40)*1000</f>
        <v>1.6</v>
      </c>
      <c r="G50">
        <f>AVERAGE(G18,G40)</f>
        <v>0.4118</v>
      </c>
      <c r="H50">
        <f>AVERAGE(H40,H18)</f>
        <v>0.24099999999999999</v>
      </c>
      <c r="I50">
        <f>AVERAGE(I40,I18)*1000</f>
        <v>-1.2000000000000002</v>
      </c>
      <c r="J50">
        <f>AVERAGE(J40,J18)*1000</f>
        <v>9.0499999999999989</v>
      </c>
      <c r="K50">
        <f>AVERAGE(K40,K18)</f>
        <v>4.2655000000000003</v>
      </c>
      <c r="L50">
        <f>AVERAGE(L40,L18)</f>
        <v>1.7115499999999999</v>
      </c>
      <c r="M50">
        <f>AVERAGE(M18,M40)*1000</f>
        <v>11</v>
      </c>
      <c r="N50">
        <f>AVERAGE(N18,N40)*1000</f>
        <v>5</v>
      </c>
      <c r="O50">
        <f>AVERAGE(O40,O18)*1000</f>
        <v>3.5</v>
      </c>
      <c r="P50">
        <f>_xlfn.STDEV.P(O18,O40)*1000</f>
        <v>0.5</v>
      </c>
      <c r="X50" s="3" t="s">
        <v>14</v>
      </c>
      <c r="Y50" s="2" t="s">
        <v>42</v>
      </c>
      <c r="Z50" s="4" t="s">
        <v>43</v>
      </c>
      <c r="AA50" s="4" t="s">
        <v>93</v>
      </c>
    </row>
    <row r="51" spans="1:29" ht="15" thickBot="1" x14ac:dyDescent="0.35">
      <c r="X51" s="5" t="s">
        <v>15</v>
      </c>
      <c r="Y51" s="6" t="s">
        <v>47</v>
      </c>
      <c r="Z51" s="7" t="s">
        <v>40</v>
      </c>
      <c r="AA51" s="7" t="s">
        <v>84</v>
      </c>
    </row>
    <row r="52" spans="1:29" ht="15" thickBot="1" x14ac:dyDescent="0.35">
      <c r="AC52" t="s">
        <v>120</v>
      </c>
    </row>
    <row r="53" spans="1:29" x14ac:dyDescent="0.3">
      <c r="A53" s="78" t="s">
        <v>39</v>
      </c>
      <c r="B53" s="79" t="s">
        <v>37</v>
      </c>
      <c r="C53" s="79">
        <v>6.0000000000000001E-3</v>
      </c>
      <c r="D53" s="15">
        <v>1</v>
      </c>
      <c r="E53" s="15">
        <v>1.1999999999999999E-3</v>
      </c>
      <c r="F53" s="15">
        <v>2.3999999999999998E-3</v>
      </c>
      <c r="G53" s="15">
        <v>0.56899999999999995</v>
      </c>
      <c r="H53" s="15">
        <v>0.32950000000000002</v>
      </c>
      <c r="I53" s="15">
        <v>4.4400000000000002E-2</v>
      </c>
      <c r="J53" s="15">
        <v>2.1399999999999999E-2</v>
      </c>
      <c r="K53" s="15">
        <v>1.7811999999999999</v>
      </c>
      <c r="L53" s="15">
        <v>0.79859999999999998</v>
      </c>
      <c r="M53" s="15">
        <v>3.4000000000000002E-2</v>
      </c>
      <c r="N53" s="15">
        <v>8.9999999999999993E-3</v>
      </c>
      <c r="O53" s="16">
        <v>2.8400000000000002E-2</v>
      </c>
      <c r="Q53">
        <f>M53*1000</f>
        <v>34</v>
      </c>
      <c r="X53" s="84" t="s">
        <v>20</v>
      </c>
      <c r="Y53" s="85"/>
      <c r="Z53" s="85"/>
      <c r="AA53" s="86"/>
    </row>
    <row r="54" spans="1:29" x14ac:dyDescent="0.3">
      <c r="A54" s="88"/>
      <c r="B54" s="87"/>
      <c r="C54" s="87"/>
      <c r="D54" s="9">
        <v>2</v>
      </c>
      <c r="E54" s="9">
        <v>1.1999999999999999E-3</v>
      </c>
      <c r="F54" s="9">
        <v>2.2000000000000001E-3</v>
      </c>
      <c r="G54" s="9">
        <v>0.56899999999999995</v>
      </c>
      <c r="H54" s="9">
        <v>0.32769999999999999</v>
      </c>
      <c r="I54" s="9">
        <v>4.4400000000000002E-2</v>
      </c>
      <c r="J54" s="9">
        <v>2.1499999999999998E-2</v>
      </c>
      <c r="K54" s="9">
        <v>1.7656000000000001</v>
      </c>
      <c r="L54" s="9">
        <v>0.80269999999999997</v>
      </c>
      <c r="M54" s="9">
        <v>3.4000000000000002E-2</v>
      </c>
      <c r="N54" s="9">
        <v>8.0000000000000002E-3</v>
      </c>
      <c r="O54" s="10">
        <v>1.7999999999999999E-2</v>
      </c>
      <c r="Q54">
        <f t="shared" ref="Q54:Q66" si="1">M54*1000</f>
        <v>34</v>
      </c>
      <c r="X54" s="3"/>
      <c r="Y54" s="2" t="s">
        <v>16</v>
      </c>
      <c r="Z54" s="4" t="s">
        <v>19</v>
      </c>
      <c r="AA54" s="4" t="s">
        <v>17</v>
      </c>
    </row>
    <row r="55" spans="1:29" x14ac:dyDescent="0.3">
      <c r="A55" s="88"/>
      <c r="B55" s="87"/>
      <c r="C55" s="87"/>
      <c r="D55" s="9">
        <v>4</v>
      </c>
      <c r="E55" s="9">
        <v>1.2999999999999999E-3</v>
      </c>
      <c r="F55" s="9">
        <v>2.2000000000000001E-3</v>
      </c>
      <c r="G55" s="9">
        <v>0.56200000000000006</v>
      </c>
      <c r="H55" s="9">
        <v>0.33660000000000001</v>
      </c>
      <c r="I55" s="9">
        <v>4.41E-2</v>
      </c>
      <c r="J55" s="9">
        <v>2.1700000000000001E-2</v>
      </c>
      <c r="K55" s="9">
        <v>1.7286999999999999</v>
      </c>
      <c r="L55" s="9">
        <v>0.81979999999999997</v>
      </c>
      <c r="M55" s="9">
        <v>3.4000000000000002E-2</v>
      </c>
      <c r="N55" s="9">
        <v>8.9999999999999993E-3</v>
      </c>
      <c r="O55" s="10">
        <v>1.7999999999999999E-2</v>
      </c>
      <c r="Q55">
        <f t="shared" si="1"/>
        <v>34</v>
      </c>
      <c r="X55" s="3" t="s">
        <v>21</v>
      </c>
      <c r="Y55" s="2" t="s">
        <v>41</v>
      </c>
      <c r="Z55" s="4" t="s">
        <v>44</v>
      </c>
      <c r="AA55" s="4" t="s">
        <v>83</v>
      </c>
    </row>
    <row r="56" spans="1:29" ht="15" thickBot="1" x14ac:dyDescent="0.35">
      <c r="A56" s="88"/>
      <c r="B56" s="87"/>
      <c r="C56" s="87"/>
      <c r="D56" s="9">
        <v>6</v>
      </c>
      <c r="E56" s="9">
        <v>1.1000000000000001E-3</v>
      </c>
      <c r="F56" s="9">
        <v>2.3999999999999998E-3</v>
      </c>
      <c r="G56" s="9">
        <v>0.58620000000000005</v>
      </c>
      <c r="H56" s="9">
        <v>0.3347</v>
      </c>
      <c r="I56" s="9">
        <v>4.4400000000000002E-2</v>
      </c>
      <c r="J56" s="9">
        <v>2.1299999999999999E-2</v>
      </c>
      <c r="K56" s="9">
        <v>1.8353999999999999</v>
      </c>
      <c r="L56" s="9">
        <v>0.80769999999999997</v>
      </c>
      <c r="M56" s="9">
        <v>3.4000000000000002E-2</v>
      </c>
      <c r="N56" s="9">
        <v>6.0000000000000001E-3</v>
      </c>
      <c r="O56" s="10">
        <v>1.7999999999999999E-2</v>
      </c>
      <c r="Q56">
        <f t="shared" si="1"/>
        <v>34</v>
      </c>
      <c r="X56" s="5" t="s">
        <v>22</v>
      </c>
      <c r="Y56" s="6" t="s">
        <v>46</v>
      </c>
      <c r="Z56" s="7" t="s">
        <v>45</v>
      </c>
      <c r="AA56" s="7" t="s">
        <v>85</v>
      </c>
    </row>
    <row r="57" spans="1:29" x14ac:dyDescent="0.3">
      <c r="A57" s="88"/>
      <c r="B57" s="87"/>
      <c r="C57" s="87"/>
      <c r="D57" s="9">
        <v>8</v>
      </c>
      <c r="E57" s="9">
        <v>1.1999999999999999E-3</v>
      </c>
      <c r="F57" s="9">
        <v>2.3999999999999998E-3</v>
      </c>
      <c r="G57" s="9">
        <v>0.51459999999999995</v>
      </c>
      <c r="H57" s="9">
        <v>0.29370000000000002</v>
      </c>
      <c r="I57" s="9">
        <v>4.4400000000000002E-2</v>
      </c>
      <c r="J57" s="9">
        <v>2.1700000000000001E-2</v>
      </c>
      <c r="K57" s="9">
        <v>1.7155</v>
      </c>
      <c r="L57" s="9">
        <v>0.82110000000000005</v>
      </c>
      <c r="M57" s="9">
        <v>3.5000000000000003E-2</v>
      </c>
      <c r="N57" s="9">
        <v>7.0000000000000001E-3</v>
      </c>
      <c r="O57" s="10">
        <v>1.7999999999999999E-2</v>
      </c>
      <c r="Q57">
        <f t="shared" si="1"/>
        <v>35</v>
      </c>
    </row>
    <row r="58" spans="1:29" x14ac:dyDescent="0.3">
      <c r="A58" s="88"/>
      <c r="B58" s="87"/>
      <c r="C58" s="87"/>
      <c r="D58" s="9">
        <v>10</v>
      </c>
      <c r="E58" s="9">
        <v>8.0000000000000004E-4</v>
      </c>
      <c r="F58" s="9">
        <v>2.2000000000000001E-3</v>
      </c>
      <c r="G58" s="9">
        <v>0.59260000000000002</v>
      </c>
      <c r="H58" s="9">
        <v>0.33069999999999999</v>
      </c>
      <c r="I58" s="9">
        <v>4.4299999999999999E-2</v>
      </c>
      <c r="J58" s="9">
        <v>2.18E-2</v>
      </c>
      <c r="K58" s="9">
        <v>1.7990999999999999</v>
      </c>
      <c r="L58" s="9">
        <v>0.87670000000000003</v>
      </c>
      <c r="M58" s="9">
        <v>3.5000000000000003E-2</v>
      </c>
      <c r="N58" s="9">
        <v>7.0000000000000001E-3</v>
      </c>
      <c r="O58" s="10">
        <v>1.7999999999999999E-2</v>
      </c>
      <c r="Q58">
        <f t="shared" si="1"/>
        <v>35</v>
      </c>
    </row>
    <row r="59" spans="1:29" x14ac:dyDescent="0.3">
      <c r="A59" s="88"/>
      <c r="B59" s="87"/>
      <c r="C59" s="87"/>
      <c r="D59" s="9">
        <v>15</v>
      </c>
      <c r="E59" s="9">
        <v>5.0000000000000001E-4</v>
      </c>
      <c r="F59" s="9">
        <v>2.3999999999999998E-3</v>
      </c>
      <c r="G59" s="9">
        <v>0.62929999999999997</v>
      </c>
      <c r="H59" s="9">
        <v>0.37930000000000003</v>
      </c>
      <c r="I59" s="9">
        <v>4.3900000000000002E-2</v>
      </c>
      <c r="J59" s="9">
        <v>2.1700000000000001E-2</v>
      </c>
      <c r="K59" s="9">
        <v>1.7931999999999999</v>
      </c>
      <c r="L59" s="9">
        <v>0.87250000000000005</v>
      </c>
      <c r="M59" s="9">
        <v>3.5000000000000003E-2</v>
      </c>
      <c r="N59" s="9">
        <v>7.0000000000000001E-3</v>
      </c>
      <c r="O59" s="10">
        <v>1.7999999999999999E-2</v>
      </c>
      <c r="Q59">
        <f t="shared" si="1"/>
        <v>35</v>
      </c>
    </row>
    <row r="60" spans="1:29" x14ac:dyDescent="0.3">
      <c r="A60" s="88"/>
      <c r="B60" s="87" t="s">
        <v>38</v>
      </c>
      <c r="C60" s="87">
        <v>4.0000000000000001E-3</v>
      </c>
      <c r="D60" s="9">
        <v>1</v>
      </c>
      <c r="E60" s="9">
        <v>6.9999999999999999E-4</v>
      </c>
      <c r="F60" s="9">
        <v>2.3999999999999998E-3</v>
      </c>
      <c r="G60" s="9">
        <v>0.64359999999999995</v>
      </c>
      <c r="H60" s="9">
        <v>0.35520000000000002</v>
      </c>
      <c r="I60" s="27">
        <v>9.4000000000000004E-3</v>
      </c>
      <c r="J60" s="27">
        <v>8.9999999999999993E-3</v>
      </c>
      <c r="K60" s="27">
        <v>3.3691</v>
      </c>
      <c r="L60" s="27">
        <v>1.2910999999999999</v>
      </c>
      <c r="M60" s="9">
        <v>8.9999999999999993E-3</v>
      </c>
      <c r="N60" s="9">
        <v>3.0000000000000001E-3</v>
      </c>
      <c r="O60" s="10">
        <v>5.0000000000000001E-3</v>
      </c>
      <c r="Q60">
        <f t="shared" si="1"/>
        <v>9</v>
      </c>
    </row>
    <row r="61" spans="1:29" x14ac:dyDescent="0.3">
      <c r="A61" s="88"/>
      <c r="B61" s="87"/>
      <c r="C61" s="87"/>
      <c r="D61" s="9">
        <v>2</v>
      </c>
      <c r="E61" s="9">
        <v>6.9999999999999999E-4</v>
      </c>
      <c r="F61" s="9">
        <v>2.3E-3</v>
      </c>
      <c r="G61" s="9">
        <v>0.61599999999999999</v>
      </c>
      <c r="H61" s="9">
        <v>0.34250000000000003</v>
      </c>
      <c r="I61" s="9"/>
      <c r="J61" s="9"/>
      <c r="K61" s="9"/>
      <c r="L61" s="9"/>
      <c r="M61" s="9">
        <v>8.9999999999999993E-3</v>
      </c>
      <c r="N61" s="9">
        <v>3.0000000000000001E-3</v>
      </c>
      <c r="O61" s="10">
        <v>5.0000000000000001E-3</v>
      </c>
      <c r="Q61">
        <f t="shared" si="1"/>
        <v>9</v>
      </c>
    </row>
    <row r="62" spans="1:29" x14ac:dyDescent="0.3">
      <c r="A62" s="88"/>
      <c r="B62" s="87"/>
      <c r="C62" s="87"/>
      <c r="D62" s="9">
        <v>4</v>
      </c>
      <c r="E62" s="9">
        <v>8.0000000000000004E-4</v>
      </c>
      <c r="F62" s="9">
        <v>2.2000000000000001E-3</v>
      </c>
      <c r="G62" s="9">
        <v>0.61650000000000005</v>
      </c>
      <c r="H62" s="9">
        <v>0.34329999999999999</v>
      </c>
      <c r="I62" s="9"/>
      <c r="J62" s="9"/>
      <c r="K62" s="9"/>
      <c r="L62" s="9"/>
      <c r="M62" s="9">
        <v>8.9999999999999993E-3</v>
      </c>
      <c r="N62" s="9">
        <v>3.0000000000000001E-3</v>
      </c>
      <c r="O62" s="10">
        <v>5.0000000000000001E-3</v>
      </c>
      <c r="Q62">
        <f t="shared" si="1"/>
        <v>9</v>
      </c>
    </row>
    <row r="63" spans="1:29" x14ac:dyDescent="0.3">
      <c r="A63" s="88"/>
      <c r="B63" s="87"/>
      <c r="C63" s="87"/>
      <c r="D63" s="9">
        <v>6</v>
      </c>
      <c r="E63" s="9">
        <v>8.0000000000000004E-4</v>
      </c>
      <c r="F63" s="9">
        <v>2.2000000000000001E-3</v>
      </c>
      <c r="G63" s="9">
        <v>0.65349999999999997</v>
      </c>
      <c r="H63" s="9">
        <v>0.315</v>
      </c>
      <c r="I63" s="9"/>
      <c r="J63" s="9"/>
      <c r="K63" s="9"/>
      <c r="L63" s="9"/>
      <c r="M63" s="9">
        <v>8.9999999999999993E-3</v>
      </c>
      <c r="N63" s="9">
        <v>3.0000000000000001E-3</v>
      </c>
      <c r="O63" s="10">
        <v>5.0000000000000001E-3</v>
      </c>
      <c r="Q63">
        <f t="shared" si="1"/>
        <v>9</v>
      </c>
    </row>
    <row r="64" spans="1:29" x14ac:dyDescent="0.3">
      <c r="A64" s="88"/>
      <c r="B64" s="87"/>
      <c r="C64" s="87"/>
      <c r="D64" s="9">
        <v>8</v>
      </c>
      <c r="E64" s="9">
        <v>4.0000000000000002E-4</v>
      </c>
      <c r="F64" s="9">
        <v>2E-3</v>
      </c>
      <c r="G64" s="9">
        <v>0.53639999999999999</v>
      </c>
      <c r="H64" s="9">
        <v>0.31790000000000002</v>
      </c>
      <c r="I64" s="9"/>
      <c r="J64" s="9"/>
      <c r="K64" s="9"/>
      <c r="L64" s="9"/>
      <c r="M64" s="9">
        <v>8.9999999999999993E-3</v>
      </c>
      <c r="N64" s="9">
        <v>3.0000000000000001E-3</v>
      </c>
      <c r="O64" s="10">
        <v>5.0000000000000001E-3</v>
      </c>
      <c r="Q64">
        <f t="shared" si="1"/>
        <v>9</v>
      </c>
    </row>
    <row r="65" spans="1:17" x14ac:dyDescent="0.3">
      <c r="A65" s="88"/>
      <c r="B65" s="87"/>
      <c r="C65" s="87"/>
      <c r="D65" s="9">
        <v>10</v>
      </c>
      <c r="E65" s="9">
        <v>4.0000000000000002E-4</v>
      </c>
      <c r="F65" s="9">
        <v>2.0999999999999999E-3</v>
      </c>
      <c r="G65" s="9">
        <v>0.57089999999999996</v>
      </c>
      <c r="H65" s="9">
        <v>0.28320000000000001</v>
      </c>
      <c r="I65" s="9"/>
      <c r="J65" s="9"/>
      <c r="K65" s="9"/>
      <c r="L65" s="9"/>
      <c r="M65" s="9">
        <v>8.9999999999999993E-3</v>
      </c>
      <c r="N65" s="9">
        <v>3.0000000000000001E-3</v>
      </c>
      <c r="O65" s="10">
        <v>5.0000000000000001E-3</v>
      </c>
      <c r="Q65">
        <f t="shared" si="1"/>
        <v>9</v>
      </c>
    </row>
    <row r="66" spans="1:17" ht="15" thickBot="1" x14ac:dyDescent="0.35">
      <c r="A66" s="101"/>
      <c r="B66" s="100"/>
      <c r="C66" s="100"/>
      <c r="D66" s="12">
        <v>15</v>
      </c>
      <c r="E66" s="12">
        <v>5.9999999999999995E-4</v>
      </c>
      <c r="F66" s="12">
        <v>2.2000000000000001E-3</v>
      </c>
      <c r="G66" s="12">
        <v>0.66930000000000001</v>
      </c>
      <c r="H66" s="12">
        <v>0.28660000000000002</v>
      </c>
      <c r="I66" s="12"/>
      <c r="J66" s="12"/>
      <c r="K66" s="12"/>
      <c r="L66" s="12"/>
      <c r="M66" s="12">
        <v>8.9999999999999993E-3</v>
      </c>
      <c r="N66" s="12">
        <v>3.0000000000000001E-3</v>
      </c>
      <c r="O66" s="13">
        <v>5.0000000000000001E-3</v>
      </c>
      <c r="Q66">
        <f t="shared" si="1"/>
        <v>9</v>
      </c>
    </row>
    <row r="67" spans="1:17" x14ac:dyDescent="0.3">
      <c r="B67" s="21"/>
    </row>
    <row r="69" spans="1:17" ht="15" thickBot="1" x14ac:dyDescent="0.35"/>
    <row r="70" spans="1:17" x14ac:dyDescent="0.3">
      <c r="A70" s="78" t="s">
        <v>2</v>
      </c>
      <c r="B70" s="79">
        <v>14</v>
      </c>
      <c r="C70" s="79">
        <v>6.0000000000000001E-3</v>
      </c>
      <c r="D70" s="15" t="s">
        <v>25</v>
      </c>
      <c r="E70" s="15">
        <v>1.1000000000000001E-3</v>
      </c>
      <c r="F70" s="15">
        <v>2.5000000000000001E-3</v>
      </c>
      <c r="G70" s="15">
        <v>0.62919999999999998</v>
      </c>
      <c r="H70" s="15">
        <v>0.37969999999999998</v>
      </c>
      <c r="I70" s="15">
        <v>3.6799999999999999E-2</v>
      </c>
      <c r="J70" s="15">
        <v>1.84E-2</v>
      </c>
      <c r="K70" s="15">
        <v>6.4372999999999996</v>
      </c>
      <c r="L70" s="15">
        <v>3.0859999999999999</v>
      </c>
      <c r="M70" s="15">
        <v>2.4E-2</v>
      </c>
      <c r="N70" s="15">
        <v>8.0000000000000002E-3</v>
      </c>
      <c r="O70" s="16">
        <v>1.0999999999999999E-2</v>
      </c>
    </row>
    <row r="71" spans="1:17" x14ac:dyDescent="0.3">
      <c r="A71" s="88"/>
      <c r="B71" s="87"/>
      <c r="C71" s="87"/>
      <c r="D71" s="9">
        <v>2</v>
      </c>
      <c r="E71" s="9">
        <v>1.2999999999999999E-3</v>
      </c>
      <c r="F71" s="9">
        <v>2.5000000000000001E-3</v>
      </c>
      <c r="G71" s="9">
        <v>0.6431</v>
      </c>
      <c r="H71" s="9">
        <v>0.3775</v>
      </c>
      <c r="I71" s="9">
        <v>3.6999999999999998E-2</v>
      </c>
      <c r="J71" s="9">
        <v>1.8499999999999999E-2</v>
      </c>
      <c r="K71" s="9">
        <v>6.4550000000000001</v>
      </c>
      <c r="L71" s="9">
        <v>3.1038999999999999</v>
      </c>
      <c r="M71" s="9">
        <v>2.4E-2</v>
      </c>
      <c r="N71" s="9">
        <v>8.0000000000000002E-3</v>
      </c>
      <c r="O71" s="10">
        <v>1.0999999999999999E-2</v>
      </c>
    </row>
    <row r="72" spans="1:17" x14ac:dyDescent="0.3">
      <c r="A72" s="88"/>
      <c r="B72" s="87"/>
      <c r="C72" s="87"/>
      <c r="D72" s="9">
        <v>4</v>
      </c>
      <c r="E72" s="9">
        <v>1.4E-3</v>
      </c>
      <c r="F72" s="9">
        <v>2.5000000000000001E-3</v>
      </c>
      <c r="G72" s="9">
        <v>0.65190000000000003</v>
      </c>
      <c r="H72" s="9">
        <v>0.39179999999999998</v>
      </c>
      <c r="I72" s="9">
        <v>3.6799999999999999E-2</v>
      </c>
      <c r="J72" s="9">
        <v>1.8499999999999999E-2</v>
      </c>
      <c r="K72" s="9">
        <v>6.4183000000000003</v>
      </c>
      <c r="L72" s="9">
        <v>3.1263000000000001</v>
      </c>
      <c r="M72" s="9">
        <v>2.4E-2</v>
      </c>
      <c r="N72" s="9">
        <v>8.0000000000000002E-3</v>
      </c>
      <c r="O72" s="10">
        <v>1.0999999999999999E-2</v>
      </c>
    </row>
    <row r="73" spans="1:17" x14ac:dyDescent="0.3">
      <c r="A73" s="88"/>
      <c r="B73" s="87"/>
      <c r="C73" s="87"/>
      <c r="D73" s="9">
        <v>6</v>
      </c>
      <c r="E73" s="9">
        <v>1.4E-3</v>
      </c>
      <c r="F73" s="9">
        <v>2.8E-3</v>
      </c>
      <c r="G73" s="9">
        <v>0.65380000000000005</v>
      </c>
      <c r="H73" s="9">
        <v>0.38750000000000001</v>
      </c>
      <c r="I73" s="9">
        <v>3.6900000000000002E-2</v>
      </c>
      <c r="J73" s="9">
        <v>1.84E-2</v>
      </c>
      <c r="K73" s="9">
        <v>6.4104999999999999</v>
      </c>
      <c r="L73" s="9">
        <v>3.1629</v>
      </c>
      <c r="M73" s="9">
        <v>2.5000000000000001E-2</v>
      </c>
      <c r="N73" s="9">
        <v>8.0000000000000002E-3</v>
      </c>
      <c r="O73" s="10">
        <v>1.0999999999999999E-2</v>
      </c>
    </row>
    <row r="74" spans="1:17" x14ac:dyDescent="0.3">
      <c r="A74" s="88"/>
      <c r="B74" s="87"/>
      <c r="C74" s="87"/>
      <c r="D74" s="9">
        <v>8</v>
      </c>
      <c r="E74" s="9">
        <v>1.1999999999999999E-3</v>
      </c>
      <c r="F74" s="9">
        <v>2.7000000000000001E-3</v>
      </c>
      <c r="G74" s="9">
        <v>0.72389999999999999</v>
      </c>
      <c r="H74" s="9">
        <v>0.40649999999999997</v>
      </c>
      <c r="I74" s="9">
        <v>3.6700000000000003E-2</v>
      </c>
      <c r="J74" s="9">
        <v>1.8599999999999998E-2</v>
      </c>
      <c r="K74" s="9">
        <v>6.4589999999999996</v>
      </c>
      <c r="L74" s="9">
        <v>3.0607000000000002</v>
      </c>
      <c r="M74" s="9">
        <v>2.4E-2</v>
      </c>
      <c r="N74" s="9">
        <v>7.0000000000000001E-3</v>
      </c>
      <c r="O74" s="10">
        <v>1.0999999999999999E-2</v>
      </c>
    </row>
    <row r="75" spans="1:17" x14ac:dyDescent="0.3">
      <c r="A75" s="88"/>
      <c r="B75" s="87"/>
      <c r="C75" s="87"/>
      <c r="D75" s="9">
        <v>10</v>
      </c>
      <c r="E75" s="9">
        <v>1.6000000000000001E-3</v>
      </c>
      <c r="F75" s="9">
        <v>2.3999999999999998E-3</v>
      </c>
      <c r="G75" s="9">
        <v>0.59060000000000001</v>
      </c>
      <c r="H75" s="9">
        <v>0.32150000000000001</v>
      </c>
      <c r="I75" s="9">
        <v>3.6700000000000003E-2</v>
      </c>
      <c r="J75" s="9">
        <v>1.9E-2</v>
      </c>
      <c r="K75" s="9">
        <v>6.3955000000000002</v>
      </c>
      <c r="L75" s="9">
        <v>3.1112000000000002</v>
      </c>
      <c r="M75" s="9">
        <v>2.4E-2</v>
      </c>
      <c r="N75" s="9">
        <v>7.0000000000000001E-3</v>
      </c>
      <c r="O75" s="10">
        <v>1.0999999999999999E-2</v>
      </c>
    </row>
    <row r="76" spans="1:17" x14ac:dyDescent="0.3">
      <c r="A76" s="88"/>
      <c r="B76" s="87"/>
      <c r="C76" s="87"/>
      <c r="D76" s="9">
        <v>15</v>
      </c>
      <c r="E76" s="9">
        <v>1.6999999999999999E-3</v>
      </c>
      <c r="F76" s="9">
        <v>2.2000000000000001E-3</v>
      </c>
      <c r="G76" s="9">
        <v>0.50509999999999999</v>
      </c>
      <c r="H76" s="9">
        <v>0.3352</v>
      </c>
      <c r="I76" s="9">
        <v>3.5799999999999998E-2</v>
      </c>
      <c r="J76" s="9">
        <v>1.9400000000000001E-2</v>
      </c>
      <c r="K76" s="9">
        <v>6.2720000000000002</v>
      </c>
      <c r="L76" s="9">
        <v>3.1734</v>
      </c>
      <c r="M76" s="9">
        <v>2.4E-2</v>
      </c>
      <c r="N76" s="9">
        <v>8.0000000000000002E-3</v>
      </c>
      <c r="O76" s="10">
        <v>1.0999999999999999E-2</v>
      </c>
    </row>
    <row r="77" spans="1:17" x14ac:dyDescent="0.3">
      <c r="A77" s="88"/>
      <c r="B77" s="87">
        <v>25</v>
      </c>
      <c r="C77" s="87">
        <v>4.0000000000000001E-3</v>
      </c>
      <c r="D77" s="9" t="s">
        <v>25</v>
      </c>
      <c r="E77" s="9">
        <v>8.9999999999999998E-4</v>
      </c>
      <c r="F77" s="9">
        <v>2.3999999999999998E-3</v>
      </c>
      <c r="G77" s="9">
        <v>0.63970000000000005</v>
      </c>
      <c r="H77" s="9">
        <v>0.37580000000000002</v>
      </c>
      <c r="I77" s="27">
        <v>2.29E-2</v>
      </c>
      <c r="J77" s="27">
        <v>1.11E-2</v>
      </c>
      <c r="K77" s="27">
        <v>5.9015000000000004</v>
      </c>
      <c r="L77" s="27">
        <v>2.1833</v>
      </c>
      <c r="M77" s="9">
        <v>1.3809999999999999E-2</v>
      </c>
      <c r="N77" s="9">
        <v>5.0000000000000001E-3</v>
      </c>
      <c r="O77" s="10">
        <v>6.0000000000000001E-3</v>
      </c>
    </row>
    <row r="78" spans="1:17" x14ac:dyDescent="0.3">
      <c r="A78" s="88"/>
      <c r="B78" s="87"/>
      <c r="C78" s="87"/>
      <c r="D78" s="9">
        <v>2</v>
      </c>
      <c r="E78" s="27">
        <v>1.2999999999999999E-3</v>
      </c>
      <c r="F78" s="27">
        <v>2.5000000000000001E-3</v>
      </c>
      <c r="G78" s="27">
        <v>0.63729999999999998</v>
      </c>
      <c r="H78" s="27">
        <v>0.36940000000000001</v>
      </c>
      <c r="I78" s="9"/>
      <c r="J78" s="9"/>
      <c r="K78" s="9"/>
      <c r="L78" s="9"/>
      <c r="M78" s="9"/>
      <c r="N78" s="9"/>
      <c r="O78" s="10"/>
    </row>
    <row r="79" spans="1:17" x14ac:dyDescent="0.3">
      <c r="A79" s="88"/>
      <c r="B79" s="87"/>
      <c r="C79" s="87"/>
      <c r="D79" s="9">
        <v>4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10"/>
    </row>
    <row r="80" spans="1:17" x14ac:dyDescent="0.3">
      <c r="A80" s="88"/>
      <c r="B80" s="87"/>
      <c r="C80" s="87"/>
      <c r="D80" s="9">
        <v>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10"/>
    </row>
    <row r="81" spans="1:16" x14ac:dyDescent="0.3">
      <c r="A81" s="88"/>
      <c r="B81" s="87"/>
      <c r="C81" s="87"/>
      <c r="D81" s="9">
        <v>8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10"/>
    </row>
    <row r="82" spans="1:16" x14ac:dyDescent="0.3">
      <c r="A82" s="88"/>
      <c r="B82" s="87"/>
      <c r="C82" s="87"/>
      <c r="D82" s="9">
        <v>10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10"/>
    </row>
    <row r="83" spans="1:16" ht="15" thickBot="1" x14ac:dyDescent="0.35">
      <c r="A83" s="101"/>
      <c r="B83" s="100"/>
      <c r="C83" s="100"/>
      <c r="D83" s="12">
        <v>15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/>
    </row>
    <row r="84" spans="1:16" x14ac:dyDescent="0.3">
      <c r="B84" s="21"/>
    </row>
    <row r="86" spans="1:16" x14ac:dyDescent="0.3">
      <c r="E86">
        <f>AVERAGE(E60,E77)*1000</f>
        <v>0.79999999999999993</v>
      </c>
      <c r="F86">
        <f>AVERAGE(F60,F77)*1000</f>
        <v>2.4</v>
      </c>
      <c r="G86">
        <f>AVERAGE(G60,G77)</f>
        <v>0.64165000000000005</v>
      </c>
      <c r="H86">
        <f>AVERAGE(H60,H77)</f>
        <v>0.36550000000000005</v>
      </c>
      <c r="I86">
        <f>AVERAGE(I60,I77)*1000</f>
        <v>16.150000000000002</v>
      </c>
      <c r="J86">
        <f>AVERAGE(J60,J77)*1000</f>
        <v>10.050000000000001</v>
      </c>
      <c r="K86" s="25">
        <f>AVERAGE(K60,K77)</f>
        <v>4.6353</v>
      </c>
      <c r="L86">
        <f>AVERAGE(L60,L77)</f>
        <v>1.7372000000000001</v>
      </c>
      <c r="M86">
        <f>AVERAGE(M60,M77)*1000</f>
        <v>11.404999999999998</v>
      </c>
      <c r="N86">
        <f>AVERAGE(N60,N77)*1000</f>
        <v>4</v>
      </c>
      <c r="O86">
        <f>AVERAGE(O60,O77)*1000</f>
        <v>5.5</v>
      </c>
      <c r="P86">
        <f>_xlfn.STDEV.P(O77,O60)*1000</f>
        <v>0.5</v>
      </c>
    </row>
    <row r="89" spans="1:16" x14ac:dyDescent="0.3">
      <c r="A89" t="s">
        <v>3</v>
      </c>
      <c r="B89">
        <v>25</v>
      </c>
      <c r="C89">
        <v>6.0000000000000001E-3</v>
      </c>
      <c r="E89">
        <v>1.1000000000000001E-3</v>
      </c>
      <c r="F89">
        <v>3.3999999999999998E-3</v>
      </c>
      <c r="G89">
        <v>0.83320000000000005</v>
      </c>
      <c r="H89">
        <v>0.69330000000000003</v>
      </c>
      <c r="I89">
        <v>6.1000000000000004E-3</v>
      </c>
      <c r="J89">
        <v>1.2999999999999999E-2</v>
      </c>
      <c r="K89">
        <v>6.04</v>
      </c>
      <c r="L89">
        <v>3.05</v>
      </c>
      <c r="M89">
        <v>1.5769999999999999E-2</v>
      </c>
      <c r="N89">
        <v>6.0000000000000001E-3</v>
      </c>
      <c r="O89">
        <v>8.2000000000000007E-3</v>
      </c>
    </row>
    <row r="91" spans="1:16" x14ac:dyDescent="0.3">
      <c r="A91" t="s">
        <v>4</v>
      </c>
    </row>
    <row r="92" spans="1:16" x14ac:dyDescent="0.3">
      <c r="B92">
        <v>25</v>
      </c>
      <c r="C92">
        <v>6.0000000000000001E-3</v>
      </c>
      <c r="E92">
        <v>1.4E-3</v>
      </c>
      <c r="F92">
        <v>3.0000000000000001E-3</v>
      </c>
      <c r="G92">
        <v>0.77</v>
      </c>
      <c r="H92">
        <v>0.43</v>
      </c>
      <c r="I92">
        <v>1.7600000000000001E-2</v>
      </c>
      <c r="J92">
        <v>1.61E-2</v>
      </c>
      <c r="K92">
        <v>6.82</v>
      </c>
      <c r="L92">
        <v>3.75</v>
      </c>
      <c r="M92">
        <v>8.9999999999999993E-3</v>
      </c>
      <c r="N92">
        <v>4.0000000000000001E-3</v>
      </c>
      <c r="O92">
        <v>4.4000000000000003E-3</v>
      </c>
    </row>
    <row r="94" spans="1:16" x14ac:dyDescent="0.3">
      <c r="E94">
        <f>AVERAGE(E89,E92)*1000</f>
        <v>1.25</v>
      </c>
      <c r="F94">
        <f>AVERAGE(F89,F92)*1000</f>
        <v>3.1999999999999997</v>
      </c>
      <c r="G94">
        <f>AVERAGE(G89,G92)</f>
        <v>0.80160000000000009</v>
      </c>
      <c r="H94">
        <f>AVERAGE(H89,H92)</f>
        <v>0.56164999999999998</v>
      </c>
      <c r="I94">
        <f>AVERAGE(I89,I92)*1000</f>
        <v>11.850000000000001</v>
      </c>
      <c r="J94">
        <f>AVERAGE(J89,J92)*1000</f>
        <v>14.55</v>
      </c>
      <c r="K94">
        <f>AVERAGE(K89,K92)</f>
        <v>6.43</v>
      </c>
      <c r="L94">
        <f>AVERAGE(L89,L92)</f>
        <v>3.4</v>
      </c>
      <c r="M94">
        <f>AVERAGE(M89,M92)*1000</f>
        <v>12.385</v>
      </c>
      <c r="N94">
        <f>AVERAGE(N89,N92)*1000</f>
        <v>5</v>
      </c>
      <c r="O94">
        <f>AVERAGE(O89,O92)*1000</f>
        <v>6.3</v>
      </c>
      <c r="P94">
        <f>_xlfn.STDEV.P(O89,O92)*1000</f>
        <v>1.9000000000000001</v>
      </c>
    </row>
  </sheetData>
  <mergeCells count="36">
    <mergeCell ref="X43:AA43"/>
    <mergeCell ref="C11:C17"/>
    <mergeCell ref="B4:B17"/>
    <mergeCell ref="C4:C10"/>
    <mergeCell ref="O1:P1"/>
    <mergeCell ref="I2:J2"/>
    <mergeCell ref="K2:L2"/>
    <mergeCell ref="I1:L1"/>
    <mergeCell ref="E1:H1"/>
    <mergeCell ref="M1:N1"/>
    <mergeCell ref="E2:F2"/>
    <mergeCell ref="G2:H2"/>
    <mergeCell ref="Q1:R3"/>
    <mergeCell ref="X48:AA48"/>
    <mergeCell ref="A70:A83"/>
    <mergeCell ref="C70:C76"/>
    <mergeCell ref="C77:C83"/>
    <mergeCell ref="B77:B83"/>
    <mergeCell ref="B70:B76"/>
    <mergeCell ref="C53:C59"/>
    <mergeCell ref="C60:C66"/>
    <mergeCell ref="X53:AA53"/>
    <mergeCell ref="A53:A66"/>
    <mergeCell ref="B53:B59"/>
    <mergeCell ref="B60:B66"/>
    <mergeCell ref="A1:A24"/>
    <mergeCell ref="B1:B3"/>
    <mergeCell ref="C1:C3"/>
    <mergeCell ref="D1:D3"/>
    <mergeCell ref="C40:C46"/>
    <mergeCell ref="B40:B46"/>
    <mergeCell ref="C18:C24"/>
    <mergeCell ref="B26:B39"/>
    <mergeCell ref="B18:B24"/>
    <mergeCell ref="C33:C39"/>
    <mergeCell ref="C26:C3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8612-D910-4E1C-B060-8B590798E8C6}">
  <dimension ref="A1:AB43"/>
  <sheetViews>
    <sheetView workbookViewId="0">
      <selection activeCell="I25" sqref="I25"/>
    </sheetView>
  </sheetViews>
  <sheetFormatPr defaultRowHeight="14.4" x14ac:dyDescent="0.3"/>
  <cols>
    <col min="1" max="1" width="27.33203125" bestFit="1" customWidth="1"/>
    <col min="2" max="2" width="5.6640625" hidden="1" customWidth="1"/>
    <col min="3" max="4" width="12.33203125" customWidth="1"/>
    <col min="5" max="5" width="10.77734375" customWidth="1"/>
    <col min="6" max="6" width="9.5546875" customWidth="1"/>
    <col min="7" max="7" width="7.88671875" customWidth="1"/>
    <col min="8" max="10" width="7.21875" customWidth="1"/>
    <col min="11" max="12" width="9.5546875" bestFit="1" customWidth="1"/>
    <col min="13" max="14" width="9" bestFit="1" customWidth="1"/>
    <col min="15" max="15" width="10.21875" bestFit="1" customWidth="1"/>
    <col min="16" max="21" width="9.5546875" bestFit="1" customWidth="1"/>
    <col min="22" max="22" width="9" bestFit="1" customWidth="1"/>
    <col min="25" max="25" width="20.109375" bestFit="1" customWidth="1"/>
    <col min="26" max="26" width="16.88671875" bestFit="1" customWidth="1"/>
    <col min="27" max="28" width="18.44140625" bestFit="1" customWidth="1"/>
  </cols>
  <sheetData>
    <row r="1" spans="1:28" x14ac:dyDescent="0.3">
      <c r="A1" s="81" t="s">
        <v>95</v>
      </c>
      <c r="B1" s="78" t="s">
        <v>26</v>
      </c>
      <c r="C1" s="81" t="s">
        <v>23</v>
      </c>
      <c r="D1" s="81" t="s">
        <v>137</v>
      </c>
      <c r="E1" s="81" t="s">
        <v>136</v>
      </c>
      <c r="F1" s="91" t="s">
        <v>134</v>
      </c>
      <c r="G1" s="104"/>
      <c r="H1" s="91" t="s">
        <v>166</v>
      </c>
      <c r="I1" s="97"/>
      <c r="J1" s="94" t="s">
        <v>165</v>
      </c>
      <c r="K1" s="78" t="s">
        <v>5</v>
      </c>
      <c r="L1" s="79"/>
      <c r="M1" s="79"/>
      <c r="N1" s="80"/>
      <c r="O1" s="78" t="s">
        <v>9</v>
      </c>
      <c r="P1" s="79"/>
      <c r="Q1" s="79"/>
      <c r="R1" s="80"/>
      <c r="S1" s="78" t="s">
        <v>10</v>
      </c>
      <c r="T1" s="80"/>
      <c r="U1" s="78" t="s">
        <v>11</v>
      </c>
      <c r="V1" s="80"/>
    </row>
    <row r="2" spans="1:28" x14ac:dyDescent="0.3">
      <c r="A2" s="82"/>
      <c r="B2" s="88"/>
      <c r="C2" s="82"/>
      <c r="D2" s="82"/>
      <c r="E2" s="82"/>
      <c r="F2" s="92"/>
      <c r="G2" s="103"/>
      <c r="H2" s="92"/>
      <c r="I2" s="98"/>
      <c r="J2" s="95"/>
      <c r="K2" s="88" t="s">
        <v>12</v>
      </c>
      <c r="L2" s="87"/>
      <c r="M2" s="87" t="s">
        <v>13</v>
      </c>
      <c r="N2" s="89"/>
      <c r="O2" s="88" t="s">
        <v>12</v>
      </c>
      <c r="P2" s="87"/>
      <c r="Q2" s="87" t="s">
        <v>13</v>
      </c>
      <c r="R2" s="89"/>
      <c r="S2" s="63"/>
      <c r="T2" s="64"/>
      <c r="U2" s="63"/>
      <c r="V2" s="64"/>
    </row>
    <row r="3" spans="1:28" ht="15" thickBot="1" x14ac:dyDescent="0.35">
      <c r="A3" s="102"/>
      <c r="B3" s="101"/>
      <c r="C3" s="102"/>
      <c r="D3" s="102"/>
      <c r="E3" s="102"/>
      <c r="F3" s="93"/>
      <c r="G3" s="105"/>
      <c r="H3" s="93"/>
      <c r="I3" s="99"/>
      <c r="J3" s="96"/>
      <c r="K3" s="65" t="s">
        <v>7</v>
      </c>
      <c r="L3" s="66" t="s">
        <v>8</v>
      </c>
      <c r="M3" s="66" t="s">
        <v>7</v>
      </c>
      <c r="N3" s="67" t="s">
        <v>8</v>
      </c>
      <c r="O3" s="65" t="s">
        <v>7</v>
      </c>
      <c r="P3" s="66" t="s">
        <v>8</v>
      </c>
      <c r="Q3" s="66" t="s">
        <v>7</v>
      </c>
      <c r="R3" s="67" t="s">
        <v>8</v>
      </c>
      <c r="S3" s="65" t="s">
        <v>7</v>
      </c>
      <c r="T3" s="67" t="s">
        <v>8</v>
      </c>
      <c r="U3" s="65" t="s">
        <v>7</v>
      </c>
      <c r="V3" s="67"/>
    </row>
    <row r="4" spans="1:28" x14ac:dyDescent="0.3">
      <c r="A4" t="s">
        <v>33</v>
      </c>
      <c r="B4">
        <v>21</v>
      </c>
      <c r="C4">
        <v>6.0000000000000001E-3</v>
      </c>
      <c r="D4">
        <v>2.13</v>
      </c>
      <c r="E4">
        <v>47</v>
      </c>
      <c r="F4">
        <v>1.0999999999999999E-2</v>
      </c>
      <c r="G4" s="9">
        <v>25</v>
      </c>
      <c r="H4" s="27">
        <v>1.4999999999999999E-2</v>
      </c>
      <c r="I4" s="27">
        <v>0.8</v>
      </c>
      <c r="J4" s="27"/>
      <c r="K4">
        <v>7.0000000000000001E-3</v>
      </c>
      <c r="L4">
        <v>5.4000000000000003E-3</v>
      </c>
      <c r="M4">
        <v>1.1315</v>
      </c>
      <c r="N4">
        <v>0.63800000000000001</v>
      </c>
      <c r="O4">
        <v>-4.6699999999999998E-2</v>
      </c>
      <c r="P4">
        <v>6.1100000000000002E-2</v>
      </c>
      <c r="Q4">
        <v>15.2835</v>
      </c>
      <c r="R4">
        <v>5.7885</v>
      </c>
      <c r="S4">
        <v>1.4319999999999999E-2</v>
      </c>
      <c r="T4">
        <v>7.0000000000000001E-3</v>
      </c>
      <c r="U4">
        <v>1.3650000000000001E-2</v>
      </c>
      <c r="X4" s="9"/>
      <c r="Y4" s="3"/>
      <c r="Z4" s="2" t="s">
        <v>16</v>
      </c>
      <c r="AA4" s="4" t="s">
        <v>19</v>
      </c>
      <c r="AB4" s="4" t="s">
        <v>19</v>
      </c>
    </row>
    <row r="5" spans="1:28" x14ac:dyDescent="0.3">
      <c r="A5" t="s">
        <v>32</v>
      </c>
      <c r="B5">
        <v>20</v>
      </c>
      <c r="C5">
        <v>6.0000000000000001E-3</v>
      </c>
      <c r="D5">
        <v>2.0099999999999998</v>
      </c>
      <c r="E5">
        <v>50</v>
      </c>
      <c r="F5">
        <v>1.2E-2</v>
      </c>
      <c r="G5" s="9">
        <v>20</v>
      </c>
      <c r="H5" s="27">
        <v>1.4999999999999999E-2</v>
      </c>
      <c r="I5" s="27">
        <v>0.8</v>
      </c>
      <c r="J5" s="27" t="s">
        <v>168</v>
      </c>
      <c r="K5">
        <v>8.0999999999999996E-3</v>
      </c>
      <c r="L5">
        <v>5.7000000000000002E-3</v>
      </c>
      <c r="M5">
        <v>1.1162000000000001</v>
      </c>
      <c r="N5">
        <v>0.57999999999999996</v>
      </c>
      <c r="O5">
        <v>-4.1000000000000002E-2</v>
      </c>
      <c r="P5">
        <v>4.02E-2</v>
      </c>
      <c r="Q5">
        <v>9.6510999999999996</v>
      </c>
      <c r="R5">
        <v>6.5898000000000003</v>
      </c>
      <c r="S5">
        <v>2.1389999999999999E-2</v>
      </c>
      <c r="T5">
        <v>8.0000000000000002E-3</v>
      </c>
      <c r="U5">
        <v>1.29E-2</v>
      </c>
      <c r="X5" s="9"/>
      <c r="Y5" s="3" t="s">
        <v>14</v>
      </c>
      <c r="Z5" s="51" t="s">
        <v>121</v>
      </c>
      <c r="AA5" s="52" t="s">
        <v>122</v>
      </c>
      <c r="AB5" s="4" t="s">
        <v>123</v>
      </c>
    </row>
    <row r="6" spans="1:28" ht="15" thickBot="1" x14ac:dyDescent="0.35">
      <c r="X6" s="9"/>
      <c r="Y6" s="5" t="s">
        <v>15</v>
      </c>
      <c r="Z6" s="6" t="s">
        <v>111</v>
      </c>
      <c r="AA6" s="7" t="s">
        <v>113</v>
      </c>
      <c r="AB6" s="7" t="s">
        <v>124</v>
      </c>
    </row>
    <row r="7" spans="1:28" ht="15" thickBot="1" x14ac:dyDescent="0.35">
      <c r="K7" s="49">
        <f>AVERAGE(K4:K5)*1000</f>
        <v>7.55</v>
      </c>
      <c r="L7" s="49">
        <f>AVERAGE(L4:L5)*1000</f>
        <v>5.55</v>
      </c>
      <c r="M7" s="49">
        <f>AVERAGE(M4:M5)</f>
        <v>1.12385</v>
      </c>
      <c r="N7" s="49">
        <f>AVERAGE(N4:N5)</f>
        <v>0.60899999999999999</v>
      </c>
      <c r="O7" s="49">
        <f>AVERAGE(O4:O5)*1000</f>
        <v>-43.85</v>
      </c>
      <c r="P7" s="49">
        <f>AVERAGE(P4:P5)*1000</f>
        <v>50.65</v>
      </c>
      <c r="Q7" s="49">
        <f>AVERAGE(Q4:Q5)</f>
        <v>12.4673</v>
      </c>
      <c r="R7" s="49">
        <f>AVERAGE(R4:R5)</f>
        <v>6.1891499999999997</v>
      </c>
      <c r="S7" s="49">
        <f>AVERAGE(S4:S5)*1000</f>
        <v>17.855</v>
      </c>
      <c r="T7" s="49">
        <f>AVERAGE(T4:T5)*1000</f>
        <v>7.5</v>
      </c>
      <c r="U7" s="49">
        <f>AVERAGE(U4:U5)*1000</f>
        <v>13.275</v>
      </c>
      <c r="V7" s="49">
        <f>_xlfn.STDEV.P(U4:U5)*1000</f>
        <v>0.37500000000000033</v>
      </c>
      <c r="X7" s="9"/>
    </row>
    <row r="8" spans="1:28" x14ac:dyDescent="0.3">
      <c r="X8" s="9"/>
      <c r="Y8" s="84" t="s">
        <v>18</v>
      </c>
      <c r="Z8" s="85"/>
      <c r="AA8" s="85"/>
      <c r="AB8" s="86"/>
    </row>
    <row r="9" spans="1:28" x14ac:dyDescent="0.3">
      <c r="B9">
        <v>21</v>
      </c>
      <c r="S9" s="20"/>
      <c r="U9" s="20"/>
      <c r="W9" s="77"/>
      <c r="X9" s="98"/>
      <c r="Y9" s="3"/>
      <c r="Z9" s="2" t="s">
        <v>16</v>
      </c>
      <c r="AA9" s="4" t="s">
        <v>19</v>
      </c>
      <c r="AB9" s="4" t="s">
        <v>17</v>
      </c>
    </row>
    <row r="10" spans="1:28" x14ac:dyDescent="0.3">
      <c r="A10" t="s">
        <v>34</v>
      </c>
      <c r="B10">
        <v>23</v>
      </c>
      <c r="C10">
        <v>8.9999999999999993E-3</v>
      </c>
      <c r="D10">
        <v>2.1349999999999998</v>
      </c>
      <c r="E10">
        <v>20</v>
      </c>
      <c r="F10" s="61">
        <v>2.8000000000000001E-2</v>
      </c>
      <c r="G10" s="68">
        <v>5</v>
      </c>
      <c r="H10" s="68"/>
      <c r="I10" s="68"/>
      <c r="J10" s="68" t="s">
        <v>167</v>
      </c>
      <c r="K10">
        <v>1.0800000000000001E-2</v>
      </c>
      <c r="L10">
        <v>7.1000000000000004E-3</v>
      </c>
      <c r="M10">
        <v>1.5659000000000001</v>
      </c>
      <c r="N10">
        <v>0.85170000000000001</v>
      </c>
      <c r="O10">
        <v>-2.23E-2</v>
      </c>
      <c r="P10">
        <v>9.1999999999999998E-2</v>
      </c>
      <c r="Q10">
        <v>21.683900000000001</v>
      </c>
      <c r="R10">
        <v>5.5289000000000001</v>
      </c>
      <c r="S10" s="20">
        <v>1.523E-2</v>
      </c>
      <c r="T10">
        <v>1.2E-2</v>
      </c>
      <c r="U10" s="20">
        <v>1.2999999999999999E-2</v>
      </c>
      <c r="W10" s="61"/>
      <c r="X10" s="62"/>
      <c r="Y10" s="3" t="s">
        <v>14</v>
      </c>
      <c r="Z10" s="2" t="s">
        <v>104</v>
      </c>
      <c r="AA10" s="4" t="s">
        <v>106</v>
      </c>
      <c r="AB10" s="4" t="s">
        <v>126</v>
      </c>
    </row>
    <row r="11" spans="1:28" ht="15" thickBot="1" x14ac:dyDescent="0.35">
      <c r="A11" t="s">
        <v>35</v>
      </c>
      <c r="B11">
        <v>21</v>
      </c>
      <c r="C11">
        <v>6.0000000000000001E-3</v>
      </c>
      <c r="D11">
        <v>2.0499999999999998</v>
      </c>
      <c r="E11">
        <v>22</v>
      </c>
      <c r="F11" s="61">
        <v>2.8000000000000001E-2</v>
      </c>
      <c r="G11" s="68">
        <v>5</v>
      </c>
      <c r="H11" s="68"/>
      <c r="I11" s="68"/>
      <c r="J11" s="68"/>
      <c r="K11">
        <v>9.4999999999999998E-3</v>
      </c>
      <c r="L11">
        <v>6.7000000000000002E-3</v>
      </c>
      <c r="M11">
        <v>1.4435</v>
      </c>
      <c r="N11">
        <v>0.82020000000000004</v>
      </c>
      <c r="O11">
        <f>--0.0217</f>
        <v>2.1700000000000001E-2</v>
      </c>
      <c r="P11">
        <v>8.9800000000000005E-2</v>
      </c>
      <c r="Q11">
        <v>17.864660000000001</v>
      </c>
      <c r="R11">
        <v>10.98</v>
      </c>
      <c r="S11" s="20">
        <v>1.9279999999999999E-2</v>
      </c>
      <c r="T11">
        <v>1.6E-2</v>
      </c>
      <c r="U11" s="20">
        <v>1.7000000000000001E-2</v>
      </c>
      <c r="W11" s="61"/>
      <c r="X11" s="62"/>
      <c r="Y11" s="5" t="s">
        <v>15</v>
      </c>
      <c r="Z11" s="6" t="s">
        <v>105</v>
      </c>
      <c r="AA11" s="7" t="s">
        <v>107</v>
      </c>
      <c r="AB11" s="7" t="s">
        <v>125</v>
      </c>
    </row>
    <row r="12" spans="1:28" ht="15" thickBot="1" x14ac:dyDescent="0.35">
      <c r="X12" s="9"/>
    </row>
    <row r="13" spans="1:28" x14ac:dyDescent="0.3">
      <c r="K13" s="49">
        <f>AVERAGE(K10:K11)*1000</f>
        <v>10.149999999999999</v>
      </c>
      <c r="L13" s="49">
        <f>AVERAGE(L10:L11)*1000</f>
        <v>6.8999999999999995</v>
      </c>
      <c r="M13" s="49">
        <f>AVERAGE(M10:M11)</f>
        <v>1.5047000000000001</v>
      </c>
      <c r="N13" s="49">
        <f>AVERAGE(N10:N11)</f>
        <v>0.83594999999999997</v>
      </c>
      <c r="O13" s="49">
        <f>AVERAGE(O10:O11)*1000</f>
        <v>-0.29999999999999993</v>
      </c>
      <c r="P13" s="49">
        <f>AVERAGE(P10:P11)*1000</f>
        <v>90.9</v>
      </c>
      <c r="Q13" s="49">
        <f>AVERAGE(Q10:Q11)</f>
        <v>19.774280000000001</v>
      </c>
      <c r="R13" s="49">
        <f>AVERAGE(R10:R11)</f>
        <v>8.2544500000000003</v>
      </c>
      <c r="S13" s="49">
        <f>AVERAGE(S10:S11)*1000</f>
        <v>17.254999999999999</v>
      </c>
      <c r="T13" s="49">
        <f>AVERAGE(T10:T11)*1000</f>
        <v>14</v>
      </c>
      <c r="U13" s="49">
        <f>AVERAGE(U10:U11)*1000</f>
        <v>15</v>
      </c>
      <c r="V13" s="49">
        <f>_xlfn.STDEV.P(U9:U11)*1000</f>
        <v>2.0000000000000009</v>
      </c>
      <c r="X13" s="9"/>
      <c r="Y13" s="84" t="s">
        <v>20</v>
      </c>
      <c r="Z13" s="85"/>
      <c r="AA13" s="85"/>
      <c r="AB13" s="86"/>
    </row>
    <row r="14" spans="1:28" x14ac:dyDescent="0.3">
      <c r="X14" s="9"/>
      <c r="Y14" s="3"/>
      <c r="Z14" s="2" t="s">
        <v>16</v>
      </c>
      <c r="AA14" s="4" t="s">
        <v>19</v>
      </c>
      <c r="AB14" s="4" t="s">
        <v>17</v>
      </c>
    </row>
    <row r="15" spans="1:28" x14ac:dyDescent="0.3">
      <c r="A15" t="s">
        <v>116</v>
      </c>
      <c r="B15">
        <v>21</v>
      </c>
      <c r="C15">
        <v>8.9999999999999993E-3</v>
      </c>
      <c r="D15">
        <v>2.0750000000000002</v>
      </c>
      <c r="E15">
        <v>22</v>
      </c>
      <c r="F15">
        <v>2.5000000000000001E-2</v>
      </c>
      <c r="G15" s="9">
        <v>5</v>
      </c>
      <c r="H15" s="9"/>
      <c r="I15" s="9"/>
      <c r="J15" s="9"/>
      <c r="K15">
        <v>7.7999999999999996E-3</v>
      </c>
      <c r="L15">
        <v>6.1000000000000004E-3</v>
      </c>
      <c r="M15">
        <v>1.3678999999999999</v>
      </c>
      <c r="N15">
        <v>0.80669999999999997</v>
      </c>
      <c r="O15">
        <v>-1.9800000000000002E-2</v>
      </c>
      <c r="P15">
        <v>6.4500000000000002E-2</v>
      </c>
      <c r="Q15">
        <v>15.1737</v>
      </c>
      <c r="R15">
        <v>5.2564000000000002</v>
      </c>
      <c r="S15">
        <v>2.1950000000000001E-2</v>
      </c>
      <c r="T15">
        <v>1.7000000000000001E-2</v>
      </c>
      <c r="U15">
        <v>1.6E-2</v>
      </c>
      <c r="X15" s="9"/>
      <c r="Y15" s="3" t="s">
        <v>21</v>
      </c>
      <c r="Z15" s="2" t="s">
        <v>99</v>
      </c>
      <c r="AA15" s="4" t="s">
        <v>100</v>
      </c>
      <c r="AB15" s="4" t="s">
        <v>127</v>
      </c>
    </row>
    <row r="16" spans="1:28" ht="15" thickBot="1" x14ac:dyDescent="0.35">
      <c r="A16" t="s">
        <v>117</v>
      </c>
      <c r="B16">
        <v>21</v>
      </c>
      <c r="C16">
        <v>0.02</v>
      </c>
      <c r="D16">
        <v>2.12</v>
      </c>
      <c r="F16">
        <v>2.5999999999999999E-2</v>
      </c>
      <c r="G16" s="9">
        <v>5</v>
      </c>
      <c r="H16" s="9"/>
      <c r="I16" s="9"/>
      <c r="J16" s="9"/>
      <c r="K16">
        <v>1.01E-2</v>
      </c>
      <c r="L16">
        <v>7.3000000000000001E-3</v>
      </c>
      <c r="M16">
        <v>1.4663999999999999</v>
      </c>
      <c r="N16">
        <v>0.85129999999999995</v>
      </c>
      <c r="O16">
        <v>-1.78E-2</v>
      </c>
      <c r="P16">
        <v>5.5300000000000002E-2</v>
      </c>
      <c r="Q16">
        <v>15.3383</v>
      </c>
      <c r="R16">
        <v>2.9820000000000002</v>
      </c>
      <c r="S16">
        <v>2.2329999999999999E-2</v>
      </c>
      <c r="T16">
        <v>1.4E-2</v>
      </c>
      <c r="U16">
        <v>1.6500000000000001E-2</v>
      </c>
      <c r="X16" s="9"/>
      <c r="Y16" s="5" t="s">
        <v>22</v>
      </c>
      <c r="Z16" s="6" t="s">
        <v>98</v>
      </c>
      <c r="AA16" s="7" t="s">
        <v>101</v>
      </c>
      <c r="AB16" s="7" t="s">
        <v>128</v>
      </c>
    </row>
    <row r="17" spans="1:27" x14ac:dyDescent="0.3">
      <c r="X17" s="9"/>
      <c r="Y17" s="9"/>
    </row>
    <row r="18" spans="1:27" x14ac:dyDescent="0.3">
      <c r="X18" s="9"/>
      <c r="Y18" s="9"/>
    </row>
    <row r="19" spans="1:27" x14ac:dyDescent="0.3">
      <c r="K19" s="49">
        <f>AVERAGE(K15:K16)*1000</f>
        <v>8.9499999999999993</v>
      </c>
      <c r="L19" s="49">
        <f>AVERAGE(L15:L16)*1000</f>
        <v>6.7</v>
      </c>
      <c r="M19" s="49">
        <f>AVERAGE(M15:M16)</f>
        <v>1.4171499999999999</v>
      </c>
      <c r="N19" s="49">
        <f>AVERAGE(N15:N16)</f>
        <v>0.82899999999999996</v>
      </c>
      <c r="O19" s="49">
        <f>AVERAGE(O15:O16)*1000</f>
        <v>-18.8</v>
      </c>
      <c r="P19" s="49">
        <f>AVERAGE(P15:P16)*1000</f>
        <v>59.9</v>
      </c>
      <c r="Q19" s="49">
        <f>AVERAGE(Q15:Q16)</f>
        <v>15.256</v>
      </c>
      <c r="R19" s="49">
        <f>AVERAGE(R15:R16)</f>
        <v>4.1192000000000002</v>
      </c>
      <c r="S19" s="49">
        <f>AVERAGE(S15:S16)*1000</f>
        <v>22.14</v>
      </c>
      <c r="T19" s="49">
        <f>AVERAGE(T15:T16)*1000</f>
        <v>15.5</v>
      </c>
      <c r="U19" s="49">
        <f>AVERAGE(U15:U16)*1000</f>
        <v>16.25</v>
      </c>
      <c r="V19" s="49">
        <f>_xlfn.STDEV.P(U15:U17)*1000</f>
        <v>0.25000000000000022</v>
      </c>
      <c r="X19" s="9"/>
      <c r="Y19" s="9"/>
    </row>
    <row r="20" spans="1:27" x14ac:dyDescent="0.3">
      <c r="X20" s="9"/>
      <c r="Y20" s="9"/>
    </row>
    <row r="21" spans="1:27" x14ac:dyDescent="0.3">
      <c r="X21" s="9"/>
      <c r="Y21" s="9"/>
    </row>
    <row r="22" spans="1:27" x14ac:dyDescent="0.3">
      <c r="X22" s="9"/>
      <c r="Y22" s="9"/>
    </row>
    <row r="23" spans="1:27" x14ac:dyDescent="0.3">
      <c r="X23" s="9"/>
      <c r="Y23" s="9"/>
    </row>
    <row r="24" spans="1:27" x14ac:dyDescent="0.3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X24" s="9"/>
      <c r="Y24" s="9"/>
    </row>
    <row r="25" spans="1:27" x14ac:dyDescent="0.3">
      <c r="X25" s="9"/>
      <c r="Y25" s="9"/>
    </row>
    <row r="26" spans="1:27" x14ac:dyDescent="0.3">
      <c r="X26" s="9"/>
      <c r="Y26" s="9"/>
    </row>
    <row r="27" spans="1:27" x14ac:dyDescent="0.3">
      <c r="W27" s="9"/>
      <c r="X27" s="9"/>
      <c r="Y27" s="9"/>
      <c r="Z27" s="9"/>
      <c r="AA27" s="9"/>
    </row>
    <row r="28" spans="1:27" x14ac:dyDescent="0.3">
      <c r="W28" s="9"/>
      <c r="X28" s="9"/>
      <c r="Y28" s="9"/>
      <c r="Z28" s="9"/>
      <c r="AA28" s="9"/>
    </row>
    <row r="29" spans="1:27" x14ac:dyDescent="0.3">
      <c r="W29" s="9"/>
      <c r="X29" s="9"/>
      <c r="Y29" s="9"/>
      <c r="Z29" s="9"/>
      <c r="AA29" s="9"/>
    </row>
    <row r="30" spans="1:27" x14ac:dyDescent="0.3">
      <c r="W30" s="9"/>
      <c r="X30" s="9"/>
      <c r="Y30" s="9"/>
      <c r="Z30" s="9"/>
      <c r="AA30" s="9"/>
    </row>
    <row r="31" spans="1:27" x14ac:dyDescent="0.3"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9"/>
      <c r="X31" s="9"/>
      <c r="Y31" s="9"/>
      <c r="Z31" s="9"/>
      <c r="AA31" s="9"/>
    </row>
    <row r="32" spans="1:27" x14ac:dyDescent="0.3">
      <c r="W32" s="9"/>
      <c r="X32" s="9"/>
      <c r="Y32" s="9"/>
      <c r="Z32" s="9"/>
      <c r="AA32" s="9"/>
    </row>
    <row r="33" spans="11:27" x14ac:dyDescent="0.3">
      <c r="S33" s="20"/>
      <c r="U33" s="20"/>
      <c r="W33" s="9"/>
      <c r="X33" s="9"/>
      <c r="Y33" s="9"/>
      <c r="Z33" s="9"/>
      <c r="AA33" s="9"/>
    </row>
    <row r="34" spans="11:27" x14ac:dyDescent="0.3">
      <c r="S34" s="20"/>
      <c r="U34" s="20"/>
      <c r="W34" s="9"/>
      <c r="X34" s="9"/>
      <c r="Y34" s="9"/>
      <c r="Z34" s="9"/>
      <c r="AA34" s="9"/>
    </row>
    <row r="35" spans="11:27" x14ac:dyDescent="0.3">
      <c r="S35" s="20"/>
      <c r="U35" s="20"/>
      <c r="W35" s="9"/>
      <c r="X35" s="9"/>
      <c r="Y35" s="9"/>
      <c r="Z35" s="9"/>
      <c r="AA35" s="9"/>
    </row>
    <row r="36" spans="11:27" x14ac:dyDescent="0.3">
      <c r="W36" s="9"/>
      <c r="X36" s="9"/>
      <c r="Y36" s="9"/>
      <c r="Z36" s="9"/>
      <c r="AA36" s="9"/>
    </row>
    <row r="37" spans="11:27" x14ac:dyDescent="0.3"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9"/>
      <c r="X37" s="9"/>
      <c r="Y37" s="9"/>
      <c r="Z37" s="9"/>
      <c r="AA37" s="9"/>
    </row>
    <row r="38" spans="11:27" x14ac:dyDescent="0.3">
      <c r="W38" s="9"/>
      <c r="X38" s="9"/>
      <c r="Y38" s="9"/>
      <c r="Z38" s="9"/>
      <c r="AA38" s="9"/>
    </row>
    <row r="43" spans="11:27" x14ac:dyDescent="0.3"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</row>
  </sheetData>
  <mergeCells count="20">
    <mergeCell ref="Y8:AB8"/>
    <mergeCell ref="Y13:AB13"/>
    <mergeCell ref="S1:T1"/>
    <mergeCell ref="U1:V1"/>
    <mergeCell ref="O1:R1"/>
    <mergeCell ref="W9:X9"/>
    <mergeCell ref="F1:G3"/>
    <mergeCell ref="A24:V24"/>
    <mergeCell ref="A1:A3"/>
    <mergeCell ref="K2:L2"/>
    <mergeCell ref="M2:N2"/>
    <mergeCell ref="O2:P2"/>
    <mergeCell ref="Q2:R2"/>
    <mergeCell ref="B1:B3"/>
    <mergeCell ref="C1:C3"/>
    <mergeCell ref="K1:N1"/>
    <mergeCell ref="E1:E3"/>
    <mergeCell ref="D1:D3"/>
    <mergeCell ref="H1:I3"/>
    <mergeCell ref="J1:J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973B-6F85-4D95-9C53-F69368BA4D68}">
  <dimension ref="A1:B11"/>
  <sheetViews>
    <sheetView workbookViewId="0">
      <selection activeCell="G19" sqref="G19"/>
    </sheetView>
  </sheetViews>
  <sheetFormatPr defaultRowHeight="14.4" x14ac:dyDescent="0.3"/>
  <cols>
    <col min="1" max="1" width="14.44140625" bestFit="1" customWidth="1"/>
  </cols>
  <sheetData>
    <row r="1" spans="1:2" x14ac:dyDescent="0.3">
      <c r="A1" t="s">
        <v>0</v>
      </c>
      <c r="B1">
        <v>2.12</v>
      </c>
    </row>
    <row r="2" spans="1:2" x14ac:dyDescent="0.3">
      <c r="A2" t="s">
        <v>6</v>
      </c>
      <c r="B2">
        <v>2.0099999999999998</v>
      </c>
    </row>
    <row r="6" spans="1:2" x14ac:dyDescent="0.3">
      <c r="A6" t="s">
        <v>1</v>
      </c>
      <c r="B6">
        <v>2.1349999999999998</v>
      </c>
    </row>
    <row r="7" spans="1:2" x14ac:dyDescent="0.3">
      <c r="A7" t="s">
        <v>2</v>
      </c>
      <c r="B7">
        <v>2.0499999999999998</v>
      </c>
    </row>
    <row r="10" spans="1:2" x14ac:dyDescent="0.3">
      <c r="A10" t="s">
        <v>118</v>
      </c>
      <c r="B10">
        <v>2.0750000000000002</v>
      </c>
    </row>
    <row r="11" spans="1:2" x14ac:dyDescent="0.3">
      <c r="A11" t="s">
        <v>119</v>
      </c>
      <c r="B11">
        <v>2.1150000000000002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4C89-CBBD-485D-BE79-2979359B89ED}">
  <dimension ref="A1:F21"/>
  <sheetViews>
    <sheetView tabSelected="1" workbookViewId="0">
      <selection activeCell="K22" sqref="K22"/>
    </sheetView>
  </sheetViews>
  <sheetFormatPr defaultRowHeight="14.4" x14ac:dyDescent="0.3"/>
  <cols>
    <col min="2" max="2" width="11.109375" bestFit="1" customWidth="1"/>
    <col min="3" max="3" width="12.21875" bestFit="1" customWidth="1"/>
    <col min="4" max="5" width="9.5546875" bestFit="1" customWidth="1"/>
    <col min="14" max="14" width="10.77734375" bestFit="1" customWidth="1"/>
    <col min="15" max="15" width="12.109375" bestFit="1" customWidth="1"/>
    <col min="16" max="17" width="12.109375" customWidth="1"/>
    <col min="19" max="20" width="12.109375" bestFit="1" customWidth="1"/>
  </cols>
  <sheetData>
    <row r="1" spans="1:5" x14ac:dyDescent="0.3">
      <c r="B1" s="77" t="s">
        <v>129</v>
      </c>
      <c r="C1" s="77"/>
      <c r="D1" s="77" t="s">
        <v>130</v>
      </c>
      <c r="E1" s="77"/>
    </row>
    <row r="2" spans="1:5" x14ac:dyDescent="0.3">
      <c r="B2">
        <v>9.2443400000000002E-3</v>
      </c>
      <c r="C2">
        <v>2.4172399999999999E-4</v>
      </c>
      <c r="D2">
        <v>0.84126500000000004</v>
      </c>
      <c r="E2">
        <v>2.1060099999999998E-2</v>
      </c>
    </row>
    <row r="3" spans="1:5" x14ac:dyDescent="0.3">
      <c r="B3">
        <v>9.2639200000000001E-3</v>
      </c>
      <c r="C3">
        <v>2.3709600000000001E-4</v>
      </c>
      <c r="D3">
        <v>0.834955</v>
      </c>
      <c r="E3">
        <v>2.04908E-2</v>
      </c>
    </row>
    <row r="4" spans="1:5" x14ac:dyDescent="0.3">
      <c r="B4">
        <v>9.0656299999999999E-3</v>
      </c>
      <c r="C4">
        <v>2.37118E-4</v>
      </c>
      <c r="D4">
        <v>0.80893199999999998</v>
      </c>
      <c r="E4">
        <v>2.0950699999999999E-2</v>
      </c>
    </row>
    <row r="5" spans="1:5" x14ac:dyDescent="0.3">
      <c r="B5">
        <v>8.7834999999999996E-3</v>
      </c>
      <c r="C5">
        <v>2.3341E-4</v>
      </c>
      <c r="D5">
        <v>0.77324499999999996</v>
      </c>
      <c r="E5">
        <v>2.0240000000000001E-2</v>
      </c>
    </row>
    <row r="6" spans="1:5" x14ac:dyDescent="0.3">
      <c r="B6">
        <v>8.6891599999999996E-3</v>
      </c>
      <c r="C6">
        <v>2.3436099999999999E-4</v>
      </c>
      <c r="D6">
        <v>0.75664500000000001</v>
      </c>
      <c r="E6">
        <v>2.0590600000000001E-2</v>
      </c>
    </row>
    <row r="7" spans="1:5" x14ac:dyDescent="0.3">
      <c r="B7">
        <v>8.6320700000000004E-3</v>
      </c>
      <c r="C7">
        <v>2.3504999999999999E-4</v>
      </c>
      <c r="D7">
        <v>0.74614400000000003</v>
      </c>
      <c r="E7">
        <v>2.09261E-2</v>
      </c>
    </row>
    <row r="8" spans="1:5" x14ac:dyDescent="0.3">
      <c r="B8">
        <v>8.64119E-3</v>
      </c>
      <c r="C8">
        <v>2.1411100000000001E-4</v>
      </c>
      <c r="D8">
        <v>0.71720499999999998</v>
      </c>
      <c r="E8">
        <v>1.9783499999999999E-2</v>
      </c>
    </row>
    <row r="9" spans="1:5" x14ac:dyDescent="0.3">
      <c r="B9">
        <v>8.60029E-3</v>
      </c>
      <c r="C9">
        <v>2.14806E-4</v>
      </c>
      <c r="D9">
        <v>0.71617500000000001</v>
      </c>
      <c r="E9">
        <v>1.9878199999999999E-2</v>
      </c>
    </row>
    <row r="10" spans="1:5" x14ac:dyDescent="0.3">
      <c r="B10">
        <v>8.6393400000000006E-3</v>
      </c>
      <c r="C10">
        <v>2.15684E-4</v>
      </c>
      <c r="D10">
        <v>0.71881600000000001</v>
      </c>
      <c r="E10">
        <v>1.9750899999999998E-2</v>
      </c>
    </row>
    <row r="12" spans="1:5" x14ac:dyDescent="0.3">
      <c r="A12" t="s">
        <v>31</v>
      </c>
      <c r="B12" s="26">
        <f>AVERAGE(B2:B10)</f>
        <v>8.839937777777777E-3</v>
      </c>
      <c r="C12" s="26">
        <f t="shared" ref="C12:E12" si="0">AVERAGE(C2:C10)</f>
        <v>2.2926222222222219E-4</v>
      </c>
      <c r="D12" s="26">
        <f t="shared" si="0"/>
        <v>0.76815355555555564</v>
      </c>
      <c r="E12" s="26">
        <f t="shared" si="0"/>
        <v>2.0407877777777778E-2</v>
      </c>
    </row>
    <row r="16" spans="1:5" x14ac:dyDescent="0.3">
      <c r="B16" s="26"/>
      <c r="C16" s="26"/>
      <c r="D16" s="26"/>
      <c r="E16" s="26"/>
    </row>
    <row r="21" spans="6:6" x14ac:dyDescent="0.3">
      <c r="F21" s="26"/>
    </row>
  </sheetData>
  <mergeCells count="2">
    <mergeCell ref="B1:C1"/>
    <mergeCell ref="D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EDD0-E4C3-489D-AB96-BA456FE7E7FC}">
  <dimension ref="A1:K132"/>
  <sheetViews>
    <sheetView topLeftCell="D1" zoomScale="85" zoomScaleNormal="85" workbookViewId="0">
      <selection activeCell="Z14" sqref="Z14"/>
    </sheetView>
  </sheetViews>
  <sheetFormatPr defaultRowHeight="14.4" x14ac:dyDescent="0.3"/>
  <cols>
    <col min="1" max="1" width="12.88671875" customWidth="1"/>
    <col min="2" max="2" width="13.6640625" customWidth="1"/>
    <col min="3" max="3" width="11.5546875" customWidth="1"/>
    <col min="4" max="4" width="8" bestFit="1" customWidth="1"/>
    <col min="5" max="6" width="6.5546875" bestFit="1" customWidth="1"/>
    <col min="7" max="7" width="16.88671875" customWidth="1"/>
    <col min="8" max="8" width="12.44140625" customWidth="1"/>
    <col min="9" max="9" width="19.88671875" customWidth="1"/>
    <col min="10" max="10" width="13.109375" customWidth="1"/>
    <col min="11" max="11" width="16.109375" customWidth="1"/>
  </cols>
  <sheetData>
    <row r="1" spans="1:11" x14ac:dyDescent="0.3">
      <c r="A1" s="77" t="s">
        <v>30</v>
      </c>
      <c r="B1" s="77" t="s">
        <v>29</v>
      </c>
      <c r="C1" s="77"/>
      <c r="D1" s="77"/>
      <c r="E1" s="106" t="s">
        <v>36</v>
      </c>
      <c r="F1" s="106"/>
      <c r="G1" s="106" t="s">
        <v>29</v>
      </c>
      <c r="H1" s="106"/>
      <c r="I1" s="106"/>
      <c r="J1" s="77" t="s">
        <v>36</v>
      </c>
      <c r="K1" s="77"/>
    </row>
    <row r="2" spans="1:11" x14ac:dyDescent="0.3">
      <c r="A2" s="77"/>
      <c r="B2" t="s">
        <v>28</v>
      </c>
      <c r="C2" t="s">
        <v>27</v>
      </c>
      <c r="D2" t="s">
        <v>8</v>
      </c>
      <c r="E2" t="s">
        <v>31</v>
      </c>
      <c r="F2" t="s">
        <v>8</v>
      </c>
      <c r="G2" t="s">
        <v>28</v>
      </c>
      <c r="H2" t="s">
        <v>27</v>
      </c>
      <c r="I2" t="s">
        <v>8</v>
      </c>
      <c r="J2" t="s">
        <v>31</v>
      </c>
      <c r="K2" t="s">
        <v>8</v>
      </c>
    </row>
    <row r="3" spans="1:11" x14ac:dyDescent="0.3">
      <c r="A3" s="90" t="s">
        <v>32</v>
      </c>
      <c r="B3">
        <v>0.01</v>
      </c>
      <c r="C3">
        <v>5.8900000000000003E-3</v>
      </c>
      <c r="D3">
        <v>2.5000000000000001E-3</v>
      </c>
      <c r="E3">
        <v>1.0999999999999999E-2</v>
      </c>
      <c r="F3">
        <v>4.0000000000000001E-3</v>
      </c>
      <c r="G3">
        <f>B3*1000</f>
        <v>10</v>
      </c>
      <c r="H3">
        <f>C3*1000</f>
        <v>5.8900000000000006</v>
      </c>
      <c r="I3">
        <f>D3*1000</f>
        <v>2.5</v>
      </c>
      <c r="J3" s="25">
        <f>E3*1000</f>
        <v>11</v>
      </c>
      <c r="K3" s="25">
        <f>F3*1000</f>
        <v>4</v>
      </c>
    </row>
    <row r="4" spans="1:11" x14ac:dyDescent="0.3">
      <c r="A4" s="90"/>
      <c r="B4">
        <v>1.0999999999999999E-2</v>
      </c>
      <c r="C4">
        <v>5.7999999999999996E-3</v>
      </c>
      <c r="D4">
        <v>2.5400000000000002E-3</v>
      </c>
      <c r="E4">
        <v>0.01</v>
      </c>
      <c r="F4">
        <v>4.0000000000000001E-3</v>
      </c>
      <c r="G4">
        <f t="shared" ref="G4:G22" si="0">B4*1000</f>
        <v>11</v>
      </c>
      <c r="H4">
        <f t="shared" ref="H4:H22" si="1">C4*1000</f>
        <v>5.8</v>
      </c>
      <c r="I4">
        <f t="shared" ref="I4:I22" si="2">D4*1000</f>
        <v>2.54</v>
      </c>
      <c r="J4" s="25">
        <f t="shared" ref="J4:J22" si="3">E4*1000</f>
        <v>10</v>
      </c>
      <c r="K4" s="25">
        <f t="shared" ref="K4:K22" si="4">F4*1000</f>
        <v>4</v>
      </c>
    </row>
    <row r="5" spans="1:11" x14ac:dyDescent="0.3">
      <c r="A5" s="90"/>
      <c r="B5">
        <v>1.2E-2</v>
      </c>
      <c r="C5">
        <v>5.6699999999999997E-3</v>
      </c>
      <c r="D5">
        <v>2.5200000000000001E-3</v>
      </c>
      <c r="E5">
        <v>0.01</v>
      </c>
      <c r="F5">
        <v>5.0000000000000001E-3</v>
      </c>
      <c r="G5">
        <f t="shared" si="0"/>
        <v>12</v>
      </c>
      <c r="H5">
        <f t="shared" si="1"/>
        <v>5.67</v>
      </c>
      <c r="I5">
        <f t="shared" si="2"/>
        <v>2.52</v>
      </c>
      <c r="J5" s="25">
        <f t="shared" si="3"/>
        <v>10</v>
      </c>
      <c r="K5" s="25">
        <f t="shared" si="4"/>
        <v>5</v>
      </c>
    </row>
    <row r="6" spans="1:11" x14ac:dyDescent="0.3">
      <c r="A6" s="90"/>
      <c r="B6">
        <v>1.2999999999999999E-2</v>
      </c>
      <c r="C6">
        <v>5.5799999999999999E-3</v>
      </c>
      <c r="D6">
        <v>2.5500000000000002E-3</v>
      </c>
      <c r="E6">
        <v>8.0000000000000002E-3</v>
      </c>
      <c r="F6">
        <v>3.0000000000000001E-3</v>
      </c>
      <c r="G6">
        <f t="shared" si="0"/>
        <v>13</v>
      </c>
      <c r="H6">
        <f t="shared" si="1"/>
        <v>5.58</v>
      </c>
      <c r="I6">
        <f t="shared" si="2"/>
        <v>2.5500000000000003</v>
      </c>
      <c r="J6" s="25">
        <f t="shared" si="3"/>
        <v>8</v>
      </c>
      <c r="K6" s="25">
        <f t="shared" si="4"/>
        <v>3</v>
      </c>
    </row>
    <row r="7" spans="1:11" x14ac:dyDescent="0.3">
      <c r="A7" s="90"/>
      <c r="B7">
        <v>1.4E-2</v>
      </c>
      <c r="C7">
        <v>5.4900000000000001E-3</v>
      </c>
      <c r="D7">
        <v>2.5799999999999998E-3</v>
      </c>
      <c r="E7">
        <v>8.0000000000000002E-3</v>
      </c>
      <c r="F7">
        <v>3.0000000000000001E-3</v>
      </c>
      <c r="G7">
        <f t="shared" si="0"/>
        <v>14</v>
      </c>
      <c r="H7">
        <f t="shared" si="1"/>
        <v>5.49</v>
      </c>
      <c r="I7">
        <f t="shared" si="2"/>
        <v>2.5799999999999996</v>
      </c>
      <c r="J7" s="25">
        <f t="shared" si="3"/>
        <v>8</v>
      </c>
      <c r="K7" s="25">
        <f t="shared" si="4"/>
        <v>3</v>
      </c>
    </row>
    <row r="8" spans="1:11" x14ac:dyDescent="0.3">
      <c r="A8" s="90"/>
      <c r="B8">
        <v>1.4999999999999999E-2</v>
      </c>
      <c r="C8">
        <v>5.4099999999999999E-3</v>
      </c>
      <c r="D8">
        <v>2.6099999999999999E-3</v>
      </c>
      <c r="E8">
        <v>7.0000000000000001E-3</v>
      </c>
      <c r="F8">
        <v>3.0000000000000001E-3</v>
      </c>
      <c r="G8">
        <f t="shared" si="0"/>
        <v>15</v>
      </c>
      <c r="H8">
        <f t="shared" si="1"/>
        <v>5.41</v>
      </c>
      <c r="I8">
        <f t="shared" si="2"/>
        <v>2.61</v>
      </c>
      <c r="J8" s="25">
        <f t="shared" si="3"/>
        <v>7</v>
      </c>
      <c r="K8" s="25">
        <f t="shared" si="4"/>
        <v>3</v>
      </c>
    </row>
    <row r="9" spans="1:11" x14ac:dyDescent="0.3">
      <c r="A9" s="90"/>
      <c r="B9">
        <v>1.6E-2</v>
      </c>
      <c r="C9">
        <v>5.3400000000000001E-3</v>
      </c>
      <c r="D9">
        <v>2.63E-3</v>
      </c>
      <c r="E9">
        <v>6.0000000000000001E-3</v>
      </c>
      <c r="F9">
        <v>3.0000000000000001E-3</v>
      </c>
      <c r="G9">
        <f t="shared" si="0"/>
        <v>16</v>
      </c>
      <c r="H9">
        <f t="shared" si="1"/>
        <v>5.34</v>
      </c>
      <c r="I9">
        <f t="shared" si="2"/>
        <v>2.63</v>
      </c>
      <c r="J9" s="25">
        <f t="shared" si="3"/>
        <v>6</v>
      </c>
      <c r="K9" s="25">
        <f t="shared" si="4"/>
        <v>3</v>
      </c>
    </row>
    <row r="10" spans="1:11" x14ac:dyDescent="0.3">
      <c r="A10" s="90"/>
      <c r="B10">
        <v>1.7000000000000001E-2</v>
      </c>
      <c r="C10">
        <v>5.2300000000000003E-3</v>
      </c>
      <c r="D10">
        <v>2.5899999999999999E-3</v>
      </c>
      <c r="E10">
        <v>5.0000000000000001E-3</v>
      </c>
      <c r="F10">
        <v>3.0000000000000001E-3</v>
      </c>
      <c r="G10">
        <f t="shared" si="0"/>
        <v>17</v>
      </c>
      <c r="H10">
        <f t="shared" si="1"/>
        <v>5.23</v>
      </c>
      <c r="I10">
        <f t="shared" si="2"/>
        <v>2.59</v>
      </c>
      <c r="J10" s="25">
        <f t="shared" si="3"/>
        <v>5</v>
      </c>
      <c r="K10" s="25">
        <f t="shared" si="4"/>
        <v>3</v>
      </c>
    </row>
    <row r="11" spans="1:11" x14ac:dyDescent="0.3">
      <c r="A11" s="90"/>
      <c r="B11">
        <v>1.7999999999999999E-2</v>
      </c>
      <c r="C11">
        <v>5.1700000000000001E-3</v>
      </c>
      <c r="D11">
        <v>2.6099999999999999E-3</v>
      </c>
      <c r="E11">
        <v>5.0000000000000001E-3</v>
      </c>
      <c r="F11">
        <v>3.0000000000000001E-3</v>
      </c>
      <c r="G11">
        <f t="shared" si="0"/>
        <v>18</v>
      </c>
      <c r="H11">
        <f t="shared" si="1"/>
        <v>5.17</v>
      </c>
      <c r="I11">
        <f t="shared" si="2"/>
        <v>2.61</v>
      </c>
      <c r="J11" s="25">
        <f t="shared" si="3"/>
        <v>5</v>
      </c>
      <c r="K11" s="25">
        <f t="shared" si="4"/>
        <v>3</v>
      </c>
    </row>
    <row r="12" spans="1:11" x14ac:dyDescent="0.3">
      <c r="A12" s="90"/>
      <c r="B12">
        <v>1.9E-2</v>
      </c>
      <c r="C12">
        <v>5.1200000000000004E-3</v>
      </c>
      <c r="D12">
        <v>2.63E-3</v>
      </c>
      <c r="E12">
        <v>4.0000000000000001E-3</v>
      </c>
      <c r="F12">
        <v>2E-3</v>
      </c>
      <c r="G12">
        <f t="shared" si="0"/>
        <v>19</v>
      </c>
      <c r="H12">
        <f t="shared" si="1"/>
        <v>5.12</v>
      </c>
      <c r="I12">
        <f t="shared" si="2"/>
        <v>2.63</v>
      </c>
      <c r="J12" s="25">
        <f t="shared" si="3"/>
        <v>4</v>
      </c>
      <c r="K12" s="25">
        <f t="shared" si="4"/>
        <v>2</v>
      </c>
    </row>
    <row r="13" spans="1:11" x14ac:dyDescent="0.3">
      <c r="A13" s="90"/>
      <c r="B13">
        <v>0.02</v>
      </c>
      <c r="C13">
        <v>5.0699999999999999E-3</v>
      </c>
      <c r="D13">
        <v>2.65E-3</v>
      </c>
      <c r="E13">
        <v>4.0000000000000001E-3</v>
      </c>
      <c r="F13">
        <v>2E-3</v>
      </c>
      <c r="G13">
        <f t="shared" si="0"/>
        <v>20</v>
      </c>
      <c r="H13">
        <f t="shared" si="1"/>
        <v>5.07</v>
      </c>
      <c r="I13">
        <f t="shared" si="2"/>
        <v>2.65</v>
      </c>
      <c r="J13" s="25">
        <f t="shared" si="3"/>
        <v>4</v>
      </c>
      <c r="K13" s="25">
        <f t="shared" si="4"/>
        <v>2</v>
      </c>
    </row>
    <row r="14" spans="1:11" x14ac:dyDescent="0.3">
      <c r="A14" s="90"/>
      <c r="B14">
        <v>2.1000000000000001E-2</v>
      </c>
      <c r="C14">
        <v>5.0400000000000002E-3</v>
      </c>
      <c r="D14">
        <v>2.6700000000000001E-3</v>
      </c>
      <c r="E14">
        <v>4.0000000000000001E-3</v>
      </c>
      <c r="F14">
        <v>2E-3</v>
      </c>
      <c r="G14">
        <f t="shared" si="0"/>
        <v>21</v>
      </c>
      <c r="H14">
        <f t="shared" si="1"/>
        <v>5.04</v>
      </c>
      <c r="I14">
        <f t="shared" si="2"/>
        <v>2.67</v>
      </c>
      <c r="J14" s="25">
        <f t="shared" si="3"/>
        <v>4</v>
      </c>
      <c r="K14" s="25">
        <f t="shared" si="4"/>
        <v>2</v>
      </c>
    </row>
    <row r="15" spans="1:11" x14ac:dyDescent="0.3">
      <c r="A15" s="90"/>
      <c r="B15">
        <v>2.1999999999999999E-2</v>
      </c>
      <c r="C15">
        <v>5.0099999999999997E-3</v>
      </c>
      <c r="D15">
        <v>2.6800000000000001E-3</v>
      </c>
      <c r="E15">
        <v>3.0000000000000001E-3</v>
      </c>
      <c r="F15">
        <v>1E-3</v>
      </c>
      <c r="G15">
        <f t="shared" si="0"/>
        <v>22</v>
      </c>
      <c r="H15">
        <f t="shared" si="1"/>
        <v>5.01</v>
      </c>
      <c r="I15">
        <f t="shared" si="2"/>
        <v>2.68</v>
      </c>
      <c r="J15" s="25">
        <f t="shared" si="3"/>
        <v>3</v>
      </c>
      <c r="K15" s="25">
        <f t="shared" si="4"/>
        <v>1</v>
      </c>
    </row>
    <row r="16" spans="1:11" x14ac:dyDescent="0.3">
      <c r="A16" s="90"/>
      <c r="B16">
        <v>2.3E-2</v>
      </c>
      <c r="C16">
        <v>4.9899999999999996E-3</v>
      </c>
      <c r="D16">
        <v>2.6900000000000001E-3</v>
      </c>
      <c r="E16">
        <v>3.0000000000000001E-3</v>
      </c>
      <c r="F16">
        <v>1E-3</v>
      </c>
      <c r="G16">
        <f t="shared" si="0"/>
        <v>23</v>
      </c>
      <c r="H16">
        <f t="shared" si="1"/>
        <v>4.9899999999999993</v>
      </c>
      <c r="I16">
        <f t="shared" si="2"/>
        <v>2.69</v>
      </c>
      <c r="J16" s="25">
        <f t="shared" si="3"/>
        <v>3</v>
      </c>
      <c r="K16" s="25">
        <f t="shared" si="4"/>
        <v>1</v>
      </c>
    </row>
    <row r="17" spans="1:11" x14ac:dyDescent="0.3">
      <c r="A17" s="90"/>
      <c r="B17">
        <v>2.4E-2</v>
      </c>
      <c r="C17">
        <v>4.9800000000000001E-3</v>
      </c>
      <c r="D17">
        <v>2.6900000000000001E-3</v>
      </c>
      <c r="E17">
        <v>3.0000000000000001E-3</v>
      </c>
      <c r="F17">
        <v>1E-3</v>
      </c>
      <c r="G17">
        <f t="shared" si="0"/>
        <v>24</v>
      </c>
      <c r="H17">
        <f t="shared" si="1"/>
        <v>4.9800000000000004</v>
      </c>
      <c r="I17">
        <f t="shared" si="2"/>
        <v>2.69</v>
      </c>
      <c r="J17" s="25">
        <f t="shared" si="3"/>
        <v>3</v>
      </c>
      <c r="K17" s="25">
        <f t="shared" si="4"/>
        <v>1</v>
      </c>
    </row>
    <row r="18" spans="1:11" x14ac:dyDescent="0.3">
      <c r="A18" s="90"/>
      <c r="B18">
        <v>2.5000000000000001E-2</v>
      </c>
      <c r="C18">
        <v>4.9800000000000001E-3</v>
      </c>
      <c r="D18">
        <v>2.6900000000000001E-3</v>
      </c>
      <c r="E18">
        <v>4.0000000000000001E-3</v>
      </c>
      <c r="F18">
        <v>1E-3</v>
      </c>
      <c r="G18">
        <f t="shared" si="0"/>
        <v>25</v>
      </c>
      <c r="H18">
        <f t="shared" si="1"/>
        <v>4.9800000000000004</v>
      </c>
      <c r="I18">
        <f t="shared" si="2"/>
        <v>2.69</v>
      </c>
      <c r="J18" s="25">
        <f t="shared" si="3"/>
        <v>4</v>
      </c>
      <c r="K18" s="25">
        <f t="shared" si="4"/>
        <v>1</v>
      </c>
    </row>
    <row r="19" spans="1:11" x14ac:dyDescent="0.3">
      <c r="A19" s="90"/>
      <c r="B19">
        <v>2.5999999999999999E-2</v>
      </c>
      <c r="C19">
        <v>4.9899999999999996E-3</v>
      </c>
      <c r="D19">
        <v>2.7000000000000001E-3</v>
      </c>
      <c r="E19">
        <v>4.0000000000000001E-3</v>
      </c>
      <c r="F19">
        <v>1E-3</v>
      </c>
      <c r="G19">
        <f t="shared" si="0"/>
        <v>26</v>
      </c>
      <c r="H19">
        <f t="shared" si="1"/>
        <v>4.9899999999999993</v>
      </c>
      <c r="I19">
        <f t="shared" si="2"/>
        <v>2.7</v>
      </c>
      <c r="J19" s="25">
        <f t="shared" si="3"/>
        <v>4</v>
      </c>
      <c r="K19" s="25">
        <f t="shared" si="4"/>
        <v>1</v>
      </c>
    </row>
    <row r="20" spans="1:11" x14ac:dyDescent="0.3">
      <c r="A20" s="90"/>
      <c r="B20">
        <v>2.7E-2</v>
      </c>
      <c r="C20">
        <v>5.0099999999999997E-3</v>
      </c>
      <c r="D20">
        <v>2.6900000000000001E-3</v>
      </c>
      <c r="E20">
        <v>4.0000000000000001E-3</v>
      </c>
      <c r="F20">
        <v>2E-3</v>
      </c>
      <c r="G20">
        <f t="shared" si="0"/>
        <v>27</v>
      </c>
      <c r="H20">
        <f t="shared" si="1"/>
        <v>5.01</v>
      </c>
      <c r="I20">
        <f t="shared" si="2"/>
        <v>2.69</v>
      </c>
      <c r="J20" s="25">
        <f t="shared" si="3"/>
        <v>4</v>
      </c>
      <c r="K20" s="25">
        <f t="shared" si="4"/>
        <v>2</v>
      </c>
    </row>
    <row r="21" spans="1:11" x14ac:dyDescent="0.3">
      <c r="A21" s="90"/>
      <c r="B21">
        <v>2.8000000000000001E-2</v>
      </c>
      <c r="C21">
        <v>5.0400000000000002E-3</v>
      </c>
      <c r="D21">
        <v>2.6800000000000001E-3</v>
      </c>
      <c r="E21">
        <v>5.0000000000000001E-3</v>
      </c>
      <c r="F21">
        <v>2E-3</v>
      </c>
      <c r="G21">
        <f t="shared" si="0"/>
        <v>28</v>
      </c>
      <c r="H21">
        <f t="shared" si="1"/>
        <v>5.04</v>
      </c>
      <c r="I21">
        <f t="shared" si="2"/>
        <v>2.68</v>
      </c>
      <c r="J21" s="25">
        <f t="shared" si="3"/>
        <v>5</v>
      </c>
      <c r="K21" s="25">
        <f t="shared" si="4"/>
        <v>2</v>
      </c>
    </row>
    <row r="22" spans="1:11" x14ac:dyDescent="0.3">
      <c r="A22" s="90"/>
      <c r="B22">
        <v>2.9000000000000001E-2</v>
      </c>
      <c r="C22">
        <v>5.0699999999999999E-3</v>
      </c>
      <c r="D22">
        <v>2.66E-3</v>
      </c>
      <c r="E22">
        <v>5.0000000000000001E-3</v>
      </c>
      <c r="F22">
        <v>2E-3</v>
      </c>
      <c r="G22">
        <f t="shared" si="0"/>
        <v>29</v>
      </c>
      <c r="H22">
        <f t="shared" si="1"/>
        <v>5.07</v>
      </c>
      <c r="I22">
        <f t="shared" si="2"/>
        <v>2.66</v>
      </c>
      <c r="J22" s="25">
        <f t="shared" si="3"/>
        <v>5</v>
      </c>
      <c r="K22" s="25">
        <f t="shared" si="4"/>
        <v>2</v>
      </c>
    </row>
    <row r="23" spans="1:11" x14ac:dyDescent="0.3">
      <c r="A23" s="90" t="s">
        <v>30</v>
      </c>
      <c r="B23" s="77" t="s">
        <v>29</v>
      </c>
      <c r="C23" s="77"/>
      <c r="D23" s="77"/>
      <c r="E23" s="77" t="s">
        <v>36</v>
      </c>
      <c r="F23" s="77"/>
      <c r="G23" s="77" t="s">
        <v>29</v>
      </c>
      <c r="H23" s="77"/>
      <c r="I23" s="77"/>
      <c r="J23" s="77" t="s">
        <v>36</v>
      </c>
      <c r="K23" s="77"/>
    </row>
    <row r="24" spans="1:11" x14ac:dyDescent="0.3">
      <c r="A24" s="90"/>
      <c r="B24" t="s">
        <v>28</v>
      </c>
      <c r="C24" t="s">
        <v>27</v>
      </c>
      <c r="D24" t="s">
        <v>8</v>
      </c>
      <c r="E24" t="s">
        <v>31</v>
      </c>
      <c r="F24" t="s">
        <v>8</v>
      </c>
      <c r="G24" t="s">
        <v>28</v>
      </c>
      <c r="H24" t="s">
        <v>27</v>
      </c>
      <c r="I24" t="s">
        <v>8</v>
      </c>
      <c r="J24" t="s">
        <v>31</v>
      </c>
      <c r="K24" t="s">
        <v>8</v>
      </c>
    </row>
    <row r="25" spans="1:11" x14ac:dyDescent="0.3">
      <c r="A25" s="90" t="s">
        <v>33</v>
      </c>
      <c r="B25">
        <v>0.01</v>
      </c>
      <c r="C25">
        <v>6.0499999999999998E-3</v>
      </c>
      <c r="D25">
        <v>2.8999999999999998E-3</v>
      </c>
      <c r="E25" s="26">
        <v>1.0999999999999999E-2</v>
      </c>
      <c r="F25" s="26">
        <v>3.0000000000000001E-3</v>
      </c>
      <c r="G25">
        <f>B25*1000</f>
        <v>10</v>
      </c>
      <c r="H25">
        <f>C25*1000</f>
        <v>6.05</v>
      </c>
      <c r="I25">
        <f>D25*1000</f>
        <v>2.9</v>
      </c>
      <c r="J25" s="25">
        <f>E25*1000</f>
        <v>11</v>
      </c>
      <c r="K25" s="25">
        <f>F25*1000</f>
        <v>3</v>
      </c>
    </row>
    <row r="26" spans="1:11" x14ac:dyDescent="0.3">
      <c r="A26" s="90"/>
      <c r="B26">
        <v>1.0999999999999999E-2</v>
      </c>
      <c r="C26">
        <v>5.94E-3</v>
      </c>
      <c r="D26">
        <v>2.9299999999999999E-3</v>
      </c>
      <c r="E26" s="26">
        <v>0.01</v>
      </c>
      <c r="F26" s="26">
        <v>3.0000000000000001E-3</v>
      </c>
      <c r="G26">
        <f t="shared" ref="G26:G44" si="5">B26*1000</f>
        <v>11</v>
      </c>
      <c r="H26">
        <f t="shared" ref="H26:H44" si="6">C26*1000</f>
        <v>5.94</v>
      </c>
      <c r="I26">
        <f t="shared" ref="I26:I44" si="7">D26*1000</f>
        <v>2.9299999999999997</v>
      </c>
      <c r="J26" s="25">
        <f t="shared" ref="J26:J44" si="8">E26*1000</f>
        <v>10</v>
      </c>
      <c r="K26" s="25">
        <f t="shared" ref="K26:K44" si="9">F26*1000</f>
        <v>3</v>
      </c>
    </row>
    <row r="27" spans="1:11" x14ac:dyDescent="0.3">
      <c r="A27" s="90"/>
      <c r="B27">
        <v>1.2E-2</v>
      </c>
      <c r="C27">
        <v>5.8399999999999997E-3</v>
      </c>
      <c r="D27">
        <v>2.97E-3</v>
      </c>
      <c r="E27" s="26">
        <v>0.01</v>
      </c>
      <c r="F27" s="26">
        <v>3.0000000000000001E-3</v>
      </c>
      <c r="G27">
        <f t="shared" si="5"/>
        <v>12</v>
      </c>
      <c r="H27">
        <f t="shared" si="6"/>
        <v>5.84</v>
      </c>
      <c r="I27">
        <f t="shared" si="7"/>
        <v>2.97</v>
      </c>
      <c r="J27" s="25">
        <f t="shared" si="8"/>
        <v>10</v>
      </c>
      <c r="K27" s="25">
        <f t="shared" si="9"/>
        <v>3</v>
      </c>
    </row>
    <row r="28" spans="1:11" x14ac:dyDescent="0.3">
      <c r="A28" s="90"/>
      <c r="B28">
        <v>1.2999999999999999E-2</v>
      </c>
      <c r="C28">
        <v>5.7499999999999999E-3</v>
      </c>
      <c r="D28">
        <v>3.0200000000000001E-3</v>
      </c>
      <c r="E28" s="26">
        <v>8.9999999999999993E-3</v>
      </c>
      <c r="F28" s="26">
        <v>4.0000000000000001E-3</v>
      </c>
      <c r="G28">
        <f t="shared" si="5"/>
        <v>13</v>
      </c>
      <c r="H28">
        <f t="shared" si="6"/>
        <v>5.75</v>
      </c>
      <c r="I28">
        <f t="shared" si="7"/>
        <v>3.02</v>
      </c>
      <c r="J28" s="25">
        <f t="shared" si="8"/>
        <v>9</v>
      </c>
      <c r="K28" s="25">
        <f t="shared" si="9"/>
        <v>4</v>
      </c>
    </row>
    <row r="29" spans="1:11" x14ac:dyDescent="0.3">
      <c r="A29" s="90"/>
      <c r="B29">
        <v>1.4E-2</v>
      </c>
      <c r="C29">
        <v>5.6600000000000001E-3</v>
      </c>
      <c r="D29">
        <v>3.0699999999999998E-3</v>
      </c>
      <c r="E29" s="26">
        <v>8.0000000000000002E-3</v>
      </c>
      <c r="F29" s="26">
        <v>4.0000000000000001E-3</v>
      </c>
      <c r="G29">
        <f t="shared" si="5"/>
        <v>14</v>
      </c>
      <c r="H29">
        <f t="shared" si="6"/>
        <v>5.66</v>
      </c>
      <c r="I29">
        <f t="shared" si="7"/>
        <v>3.07</v>
      </c>
      <c r="J29" s="25">
        <f t="shared" si="8"/>
        <v>8</v>
      </c>
      <c r="K29" s="25">
        <f t="shared" si="9"/>
        <v>4</v>
      </c>
    </row>
    <row r="30" spans="1:11" x14ac:dyDescent="0.3">
      <c r="A30" s="90"/>
      <c r="B30">
        <v>1.4999999999999999E-2</v>
      </c>
      <c r="C30">
        <v>5.5700000000000003E-3</v>
      </c>
      <c r="D30">
        <v>3.0999999999999999E-3</v>
      </c>
      <c r="E30" s="26">
        <v>8.0000000000000002E-3</v>
      </c>
      <c r="F30" s="26">
        <v>5.0000000000000001E-3</v>
      </c>
      <c r="G30">
        <f t="shared" si="5"/>
        <v>15</v>
      </c>
      <c r="H30">
        <f t="shared" si="6"/>
        <v>5.57</v>
      </c>
      <c r="I30">
        <f t="shared" si="7"/>
        <v>3.1</v>
      </c>
      <c r="J30" s="25">
        <f t="shared" si="8"/>
        <v>8</v>
      </c>
      <c r="K30" s="25">
        <f t="shared" si="9"/>
        <v>5</v>
      </c>
    </row>
    <row r="31" spans="1:11" x14ac:dyDescent="0.3">
      <c r="A31" s="90"/>
      <c r="B31">
        <v>1.6E-2</v>
      </c>
      <c r="C31">
        <v>5.4599999999999996E-3</v>
      </c>
      <c r="D31">
        <v>3.0899999999999999E-3</v>
      </c>
      <c r="E31" s="26">
        <v>6.0000000000000001E-3</v>
      </c>
      <c r="F31" s="26">
        <v>3.0000000000000001E-3</v>
      </c>
      <c r="G31">
        <f t="shared" si="5"/>
        <v>16</v>
      </c>
      <c r="H31">
        <f t="shared" si="6"/>
        <v>5.46</v>
      </c>
      <c r="I31">
        <f t="shared" si="7"/>
        <v>3.09</v>
      </c>
      <c r="J31" s="25">
        <f t="shared" si="8"/>
        <v>6</v>
      </c>
      <c r="K31" s="25">
        <f t="shared" si="9"/>
        <v>3</v>
      </c>
    </row>
    <row r="32" spans="1:11" x14ac:dyDescent="0.3">
      <c r="A32" s="90"/>
      <c r="B32">
        <v>1.7000000000000001E-2</v>
      </c>
      <c r="C32">
        <v>5.3800000000000002E-3</v>
      </c>
      <c r="D32">
        <v>3.0999999999999999E-3</v>
      </c>
      <c r="E32" s="26">
        <v>6.0000000000000001E-3</v>
      </c>
      <c r="F32" s="26">
        <v>4.0000000000000001E-3</v>
      </c>
      <c r="G32">
        <f t="shared" si="5"/>
        <v>17</v>
      </c>
      <c r="H32">
        <f t="shared" si="6"/>
        <v>5.38</v>
      </c>
      <c r="I32">
        <f t="shared" si="7"/>
        <v>3.1</v>
      </c>
      <c r="J32" s="25">
        <f t="shared" si="8"/>
        <v>6</v>
      </c>
      <c r="K32" s="25">
        <f t="shared" si="9"/>
        <v>4</v>
      </c>
    </row>
    <row r="33" spans="1:11" x14ac:dyDescent="0.3">
      <c r="A33" s="90"/>
      <c r="B33">
        <v>1.7999999999999999E-2</v>
      </c>
      <c r="C33">
        <v>5.3E-3</v>
      </c>
      <c r="D33">
        <v>3.1199999999999999E-3</v>
      </c>
      <c r="E33" s="26">
        <v>5.0000000000000001E-3</v>
      </c>
      <c r="F33" s="26">
        <v>3.0000000000000001E-3</v>
      </c>
      <c r="G33">
        <f t="shared" si="5"/>
        <v>18</v>
      </c>
      <c r="H33">
        <f t="shared" si="6"/>
        <v>5.3</v>
      </c>
      <c r="I33">
        <f t="shared" si="7"/>
        <v>3.12</v>
      </c>
      <c r="J33" s="25">
        <f t="shared" si="8"/>
        <v>5</v>
      </c>
      <c r="K33" s="25">
        <f t="shared" si="9"/>
        <v>3</v>
      </c>
    </row>
    <row r="34" spans="1:11" x14ac:dyDescent="0.3">
      <c r="A34" s="90"/>
      <c r="B34">
        <v>1.9E-2</v>
      </c>
      <c r="C34">
        <v>5.2300000000000003E-3</v>
      </c>
      <c r="D34">
        <v>3.1199999999999999E-3</v>
      </c>
      <c r="E34" s="26">
        <v>5.0000000000000001E-3</v>
      </c>
      <c r="F34" s="26">
        <v>3.0000000000000001E-3</v>
      </c>
      <c r="G34">
        <f t="shared" si="5"/>
        <v>19</v>
      </c>
      <c r="H34">
        <f t="shared" si="6"/>
        <v>5.23</v>
      </c>
      <c r="I34">
        <f t="shared" si="7"/>
        <v>3.12</v>
      </c>
      <c r="J34" s="25">
        <f t="shared" si="8"/>
        <v>5</v>
      </c>
      <c r="K34" s="25">
        <f t="shared" si="9"/>
        <v>3</v>
      </c>
    </row>
    <row r="35" spans="1:11" x14ac:dyDescent="0.3">
      <c r="A35" s="90"/>
      <c r="B35">
        <v>0.02</v>
      </c>
      <c r="C35">
        <v>5.1500000000000001E-3</v>
      </c>
      <c r="D35">
        <v>3.1099999999999999E-3</v>
      </c>
      <c r="E35" s="26">
        <v>5.0000000000000001E-3</v>
      </c>
      <c r="F35" s="26">
        <v>4.0000000000000001E-3</v>
      </c>
      <c r="G35">
        <f t="shared" si="5"/>
        <v>20</v>
      </c>
      <c r="H35">
        <f t="shared" si="6"/>
        <v>5.15</v>
      </c>
      <c r="I35">
        <f t="shared" si="7"/>
        <v>3.11</v>
      </c>
      <c r="J35" s="25">
        <f t="shared" si="8"/>
        <v>5</v>
      </c>
      <c r="K35" s="25">
        <f t="shared" si="9"/>
        <v>4</v>
      </c>
    </row>
    <row r="36" spans="1:11" x14ac:dyDescent="0.3">
      <c r="A36" s="90"/>
      <c r="B36">
        <v>2.1000000000000001E-2</v>
      </c>
      <c r="C36">
        <v>5.1000000000000004E-3</v>
      </c>
      <c r="D36">
        <v>3.1099999999999999E-3</v>
      </c>
      <c r="E36" s="26">
        <v>4.0000000000000001E-3</v>
      </c>
      <c r="F36" s="26">
        <v>2E-3</v>
      </c>
      <c r="G36">
        <f t="shared" si="5"/>
        <v>21</v>
      </c>
      <c r="H36">
        <f t="shared" si="6"/>
        <v>5.1000000000000005</v>
      </c>
      <c r="I36">
        <f t="shared" si="7"/>
        <v>3.11</v>
      </c>
      <c r="J36" s="25">
        <f t="shared" si="8"/>
        <v>4</v>
      </c>
      <c r="K36" s="25">
        <f t="shared" si="9"/>
        <v>2</v>
      </c>
    </row>
    <row r="37" spans="1:11" x14ac:dyDescent="0.3">
      <c r="A37" s="90"/>
      <c r="B37">
        <v>2.1999999999999999E-2</v>
      </c>
      <c r="C37">
        <v>5.0699999999999999E-3</v>
      </c>
      <c r="D37">
        <v>3.13E-3</v>
      </c>
      <c r="E37" s="26">
        <v>4.0000000000000001E-3</v>
      </c>
      <c r="F37" s="26">
        <v>2E-3</v>
      </c>
      <c r="G37">
        <f t="shared" si="5"/>
        <v>22</v>
      </c>
      <c r="H37">
        <f t="shared" si="6"/>
        <v>5.07</v>
      </c>
      <c r="I37">
        <f t="shared" si="7"/>
        <v>3.13</v>
      </c>
      <c r="J37" s="25">
        <f t="shared" si="8"/>
        <v>4</v>
      </c>
      <c r="K37" s="25">
        <f t="shared" si="9"/>
        <v>2</v>
      </c>
    </row>
    <row r="38" spans="1:11" x14ac:dyDescent="0.3">
      <c r="A38" s="90"/>
      <c r="B38">
        <v>2.3E-2</v>
      </c>
      <c r="C38">
        <v>5.0600000000000003E-3</v>
      </c>
      <c r="D38">
        <v>3.14E-3</v>
      </c>
      <c r="E38" s="26">
        <v>4.0000000000000001E-3</v>
      </c>
      <c r="F38" s="26">
        <v>2E-3</v>
      </c>
      <c r="G38">
        <f t="shared" si="5"/>
        <v>23</v>
      </c>
      <c r="H38">
        <f t="shared" si="6"/>
        <v>5.0600000000000005</v>
      </c>
      <c r="I38">
        <f t="shared" si="7"/>
        <v>3.14</v>
      </c>
      <c r="J38" s="25">
        <f t="shared" si="8"/>
        <v>4</v>
      </c>
      <c r="K38" s="25">
        <f t="shared" si="9"/>
        <v>2</v>
      </c>
    </row>
    <row r="39" spans="1:11" x14ac:dyDescent="0.3">
      <c r="A39" s="90"/>
      <c r="B39">
        <v>2.4E-2</v>
      </c>
      <c r="C39">
        <v>5.0499999999999998E-3</v>
      </c>
      <c r="D39">
        <v>3.15E-3</v>
      </c>
      <c r="E39" s="26">
        <v>4.0000000000000001E-3</v>
      </c>
      <c r="F39" s="26">
        <v>2E-3</v>
      </c>
      <c r="G39">
        <f t="shared" si="5"/>
        <v>24</v>
      </c>
      <c r="H39">
        <f t="shared" si="6"/>
        <v>5.05</v>
      </c>
      <c r="I39">
        <f t="shared" si="7"/>
        <v>3.15</v>
      </c>
      <c r="J39" s="25">
        <f t="shared" si="8"/>
        <v>4</v>
      </c>
      <c r="K39" s="25">
        <f t="shared" si="9"/>
        <v>2</v>
      </c>
    </row>
    <row r="40" spans="1:11" x14ac:dyDescent="0.3">
      <c r="A40" s="90"/>
      <c r="B40">
        <v>2.5000000000000001E-2</v>
      </c>
      <c r="C40">
        <v>5.0499999999999998E-3</v>
      </c>
      <c r="D40">
        <v>3.14E-3</v>
      </c>
      <c r="E40" s="26">
        <v>5.0000000000000001E-3</v>
      </c>
      <c r="F40" s="26">
        <v>4.0000000000000001E-3</v>
      </c>
      <c r="G40">
        <f t="shared" si="5"/>
        <v>25</v>
      </c>
      <c r="H40">
        <f t="shared" si="6"/>
        <v>5.05</v>
      </c>
      <c r="I40">
        <f t="shared" si="7"/>
        <v>3.14</v>
      </c>
      <c r="J40" s="25">
        <f t="shared" si="8"/>
        <v>5</v>
      </c>
      <c r="K40" s="25">
        <f t="shared" si="9"/>
        <v>4</v>
      </c>
    </row>
    <row r="41" spans="1:11" x14ac:dyDescent="0.3">
      <c r="A41" s="90"/>
      <c r="B41">
        <v>2.5999999999999999E-2</v>
      </c>
      <c r="C41">
        <v>5.0499999999999998E-3</v>
      </c>
      <c r="D41">
        <v>3.1199999999999999E-3</v>
      </c>
      <c r="E41" s="26">
        <v>4.0000000000000001E-3</v>
      </c>
      <c r="F41" s="26">
        <v>2E-3</v>
      </c>
      <c r="G41">
        <f t="shared" si="5"/>
        <v>26</v>
      </c>
      <c r="H41">
        <f t="shared" si="6"/>
        <v>5.05</v>
      </c>
      <c r="I41">
        <f t="shared" si="7"/>
        <v>3.12</v>
      </c>
      <c r="J41" s="25">
        <f t="shared" si="8"/>
        <v>4</v>
      </c>
      <c r="K41" s="25">
        <f t="shared" si="9"/>
        <v>2</v>
      </c>
    </row>
    <row r="42" spans="1:11" x14ac:dyDescent="0.3">
      <c r="A42" s="90"/>
      <c r="B42">
        <v>2.7E-2</v>
      </c>
      <c r="C42">
        <v>5.0600000000000003E-3</v>
      </c>
      <c r="D42">
        <v>3.0999999999999999E-3</v>
      </c>
      <c r="E42" s="26">
        <v>5.0000000000000001E-3</v>
      </c>
      <c r="F42" s="26">
        <v>2E-3</v>
      </c>
      <c r="G42">
        <f t="shared" si="5"/>
        <v>27</v>
      </c>
      <c r="H42">
        <f t="shared" si="6"/>
        <v>5.0600000000000005</v>
      </c>
      <c r="I42">
        <f t="shared" si="7"/>
        <v>3.1</v>
      </c>
      <c r="J42" s="25">
        <f t="shared" si="8"/>
        <v>5</v>
      </c>
      <c r="K42" s="25">
        <f t="shared" si="9"/>
        <v>2</v>
      </c>
    </row>
    <row r="43" spans="1:11" x14ac:dyDescent="0.3">
      <c r="A43" s="90"/>
      <c r="B43">
        <v>2.8000000000000001E-2</v>
      </c>
      <c r="C43">
        <v>5.0899999999999999E-3</v>
      </c>
      <c r="D43">
        <v>3.0799999999999998E-3</v>
      </c>
      <c r="E43" s="26">
        <v>5.0000000000000001E-3</v>
      </c>
      <c r="F43" s="26">
        <v>2E-3</v>
      </c>
      <c r="G43">
        <f t="shared" si="5"/>
        <v>28</v>
      </c>
      <c r="H43">
        <f t="shared" si="6"/>
        <v>5.09</v>
      </c>
      <c r="I43">
        <f t="shared" si="7"/>
        <v>3.0799999999999996</v>
      </c>
      <c r="J43" s="25">
        <f t="shared" si="8"/>
        <v>5</v>
      </c>
      <c r="K43" s="25">
        <f t="shared" si="9"/>
        <v>2</v>
      </c>
    </row>
    <row r="44" spans="1:11" x14ac:dyDescent="0.3">
      <c r="A44" s="90"/>
      <c r="B44">
        <v>2.9000000000000001E-2</v>
      </c>
      <c r="C44">
        <v>5.13E-3</v>
      </c>
      <c r="D44">
        <v>3.0699999999999998E-3</v>
      </c>
      <c r="E44" s="26">
        <v>6.0000000000000001E-3</v>
      </c>
      <c r="F44" s="26">
        <v>4.0000000000000001E-3</v>
      </c>
      <c r="G44">
        <f t="shared" si="5"/>
        <v>29</v>
      </c>
      <c r="H44">
        <f t="shared" si="6"/>
        <v>5.13</v>
      </c>
      <c r="I44">
        <f t="shared" si="7"/>
        <v>3.07</v>
      </c>
      <c r="J44" s="25">
        <f t="shared" si="8"/>
        <v>6</v>
      </c>
      <c r="K44" s="25">
        <f t="shared" si="9"/>
        <v>4</v>
      </c>
    </row>
    <row r="45" spans="1:11" x14ac:dyDescent="0.3">
      <c r="A45" s="77" t="s">
        <v>30</v>
      </c>
      <c r="B45" s="77" t="s">
        <v>29</v>
      </c>
      <c r="C45" s="77"/>
      <c r="D45" s="77"/>
      <c r="E45" s="106" t="s">
        <v>36</v>
      </c>
      <c r="F45" s="106"/>
      <c r="G45" s="106" t="s">
        <v>29</v>
      </c>
      <c r="H45" s="106"/>
      <c r="I45" s="106"/>
      <c r="J45" s="77" t="s">
        <v>36</v>
      </c>
      <c r="K45" s="77"/>
    </row>
    <row r="46" spans="1:11" x14ac:dyDescent="0.3">
      <c r="A46" s="77"/>
      <c r="B46" t="s">
        <v>28</v>
      </c>
      <c r="C46" t="s">
        <v>27</v>
      </c>
      <c r="D46" t="s">
        <v>8</v>
      </c>
      <c r="E46" t="s">
        <v>31</v>
      </c>
      <c r="F46" t="s">
        <v>8</v>
      </c>
      <c r="G46" t="s">
        <v>28</v>
      </c>
      <c r="H46" t="s">
        <v>27</v>
      </c>
      <c r="I46" t="s">
        <v>8</v>
      </c>
      <c r="J46" t="s">
        <v>31</v>
      </c>
      <c r="K46" t="s">
        <v>8</v>
      </c>
    </row>
    <row r="47" spans="1:11" x14ac:dyDescent="0.3">
      <c r="A47" s="90" t="s">
        <v>68</v>
      </c>
      <c r="B47">
        <v>0.01</v>
      </c>
      <c r="C47">
        <v>1.234E-2</v>
      </c>
      <c r="D47">
        <v>4.9199999999999999E-3</v>
      </c>
      <c r="E47">
        <v>1.7000000000000001E-2</v>
      </c>
      <c r="F47">
        <v>5.0000000000000001E-3</v>
      </c>
      <c r="G47">
        <f>B47*1000</f>
        <v>10</v>
      </c>
      <c r="H47">
        <f>C47*1000</f>
        <v>12.34</v>
      </c>
      <c r="I47">
        <f>D47*1000</f>
        <v>4.92</v>
      </c>
      <c r="J47" s="25">
        <f>E47*1000</f>
        <v>17</v>
      </c>
      <c r="K47" s="25">
        <f>F47*1000</f>
        <v>5</v>
      </c>
    </row>
    <row r="48" spans="1:11" x14ac:dyDescent="0.3">
      <c r="A48" s="90"/>
      <c r="B48">
        <v>1.0999999999999999E-2</v>
      </c>
      <c r="C48">
        <v>1.2290000000000001E-2</v>
      </c>
      <c r="D48">
        <v>4.9699999999999996E-3</v>
      </c>
      <c r="E48">
        <v>1.4999999999999999E-2</v>
      </c>
      <c r="F48">
        <v>7.0000000000000001E-3</v>
      </c>
      <c r="G48">
        <f t="shared" ref="G48:G66" si="10">B48*1000</f>
        <v>11</v>
      </c>
      <c r="H48">
        <f t="shared" ref="H48:H66" si="11">C48*1000</f>
        <v>12.290000000000001</v>
      </c>
      <c r="I48">
        <f t="shared" ref="I48:I66" si="12">D48*1000</f>
        <v>4.97</v>
      </c>
      <c r="J48" s="25">
        <f t="shared" ref="J48:J66" si="13">E48*1000</f>
        <v>15</v>
      </c>
      <c r="K48" s="25">
        <f t="shared" ref="K48:K66" si="14">F48*1000</f>
        <v>7</v>
      </c>
    </row>
    <row r="49" spans="1:11" x14ac:dyDescent="0.3">
      <c r="A49" s="90"/>
      <c r="B49">
        <v>1.2E-2</v>
      </c>
      <c r="C49">
        <v>1.2239999999999999E-2</v>
      </c>
      <c r="D49">
        <v>5.0200000000000002E-3</v>
      </c>
      <c r="E49">
        <v>1.6E-2</v>
      </c>
      <c r="F49">
        <v>6.0000000000000001E-3</v>
      </c>
      <c r="G49">
        <f t="shared" si="10"/>
        <v>12</v>
      </c>
      <c r="H49">
        <f t="shared" si="11"/>
        <v>12.239999999999998</v>
      </c>
      <c r="I49">
        <f t="shared" si="12"/>
        <v>5.0200000000000005</v>
      </c>
      <c r="J49" s="25">
        <f t="shared" si="13"/>
        <v>16</v>
      </c>
      <c r="K49" s="25">
        <f t="shared" si="14"/>
        <v>6</v>
      </c>
    </row>
    <row r="50" spans="1:11" x14ac:dyDescent="0.3">
      <c r="A50" s="90"/>
      <c r="B50">
        <v>1.2999999999999999E-2</v>
      </c>
      <c r="C50">
        <v>1.2189999999999999E-2</v>
      </c>
      <c r="D50">
        <v>5.0600000000000003E-3</v>
      </c>
      <c r="E50">
        <v>1.2999999999999999E-2</v>
      </c>
      <c r="F50">
        <v>6.0000000000000001E-3</v>
      </c>
      <c r="G50">
        <f t="shared" si="10"/>
        <v>13</v>
      </c>
      <c r="H50">
        <f t="shared" si="11"/>
        <v>12.19</v>
      </c>
      <c r="I50">
        <f t="shared" si="12"/>
        <v>5.0600000000000005</v>
      </c>
      <c r="J50" s="25">
        <f t="shared" si="13"/>
        <v>13</v>
      </c>
      <c r="K50" s="25">
        <f t="shared" si="14"/>
        <v>6</v>
      </c>
    </row>
    <row r="51" spans="1:11" x14ac:dyDescent="0.3">
      <c r="A51" s="90"/>
      <c r="B51">
        <v>1.4E-2</v>
      </c>
      <c r="C51">
        <v>1.2149999999999999E-2</v>
      </c>
      <c r="D51">
        <v>5.0899999999999999E-3</v>
      </c>
      <c r="E51">
        <v>0.01</v>
      </c>
      <c r="F51">
        <v>6.0000000000000001E-3</v>
      </c>
      <c r="G51">
        <f t="shared" si="10"/>
        <v>14</v>
      </c>
      <c r="H51">
        <f t="shared" si="11"/>
        <v>12.149999999999999</v>
      </c>
      <c r="I51">
        <f t="shared" si="12"/>
        <v>5.09</v>
      </c>
      <c r="J51" s="25">
        <f t="shared" si="13"/>
        <v>10</v>
      </c>
      <c r="K51" s="25">
        <f t="shared" si="14"/>
        <v>6</v>
      </c>
    </row>
    <row r="52" spans="1:11" x14ac:dyDescent="0.3">
      <c r="A52" s="90"/>
      <c r="B52">
        <v>1.4999999999999999E-2</v>
      </c>
      <c r="C52">
        <v>1.2109999999999999E-2</v>
      </c>
      <c r="D52">
        <v>5.1200000000000004E-3</v>
      </c>
      <c r="E52">
        <v>1.0999999999999999E-2</v>
      </c>
      <c r="F52">
        <v>6.0000000000000001E-3</v>
      </c>
      <c r="G52">
        <f t="shared" si="10"/>
        <v>15</v>
      </c>
      <c r="H52">
        <f t="shared" si="11"/>
        <v>12.11</v>
      </c>
      <c r="I52">
        <f t="shared" si="12"/>
        <v>5.12</v>
      </c>
      <c r="J52" s="25">
        <f t="shared" si="13"/>
        <v>11</v>
      </c>
      <c r="K52" s="25">
        <f t="shared" si="14"/>
        <v>6</v>
      </c>
    </row>
    <row r="53" spans="1:11" x14ac:dyDescent="0.3">
      <c r="A53" s="90"/>
      <c r="B53">
        <v>1.6E-2</v>
      </c>
      <c r="C53">
        <v>1.208E-2</v>
      </c>
      <c r="D53">
        <v>5.1500000000000001E-3</v>
      </c>
      <c r="E53">
        <v>0.01</v>
      </c>
      <c r="F53">
        <v>6.0000000000000001E-3</v>
      </c>
      <c r="G53">
        <f t="shared" si="10"/>
        <v>16</v>
      </c>
      <c r="H53">
        <f t="shared" si="11"/>
        <v>12.08</v>
      </c>
      <c r="I53">
        <f t="shared" si="12"/>
        <v>5.15</v>
      </c>
      <c r="J53" s="25">
        <f t="shared" si="13"/>
        <v>10</v>
      </c>
      <c r="K53" s="25">
        <f t="shared" si="14"/>
        <v>6</v>
      </c>
    </row>
    <row r="54" spans="1:11" x14ac:dyDescent="0.3">
      <c r="A54" s="90"/>
      <c r="B54">
        <v>1.7000000000000001E-2</v>
      </c>
      <c r="C54">
        <v>1.204E-2</v>
      </c>
      <c r="D54">
        <v>5.1700000000000001E-3</v>
      </c>
      <c r="E54">
        <v>8.0000000000000002E-3</v>
      </c>
      <c r="F54">
        <v>5.0000000000000001E-3</v>
      </c>
      <c r="G54">
        <f t="shared" si="10"/>
        <v>17</v>
      </c>
      <c r="H54">
        <f t="shared" si="11"/>
        <v>12.040000000000001</v>
      </c>
      <c r="I54">
        <f t="shared" si="12"/>
        <v>5.17</v>
      </c>
      <c r="J54" s="25">
        <f t="shared" si="13"/>
        <v>8</v>
      </c>
      <c r="K54" s="25">
        <f t="shared" si="14"/>
        <v>5</v>
      </c>
    </row>
    <row r="55" spans="1:11" x14ac:dyDescent="0.3">
      <c r="A55" s="90"/>
      <c r="B55">
        <v>1.7999999999999999E-2</v>
      </c>
      <c r="C55">
        <v>1.201E-2</v>
      </c>
      <c r="D55">
        <v>5.1999999999999998E-3</v>
      </c>
      <c r="E55">
        <v>7.0000000000000001E-3</v>
      </c>
      <c r="F55">
        <v>5.0000000000000001E-3</v>
      </c>
      <c r="G55">
        <f t="shared" si="10"/>
        <v>18</v>
      </c>
      <c r="H55">
        <f t="shared" si="11"/>
        <v>12.01</v>
      </c>
      <c r="I55">
        <f t="shared" si="12"/>
        <v>5.2</v>
      </c>
      <c r="J55" s="25">
        <f t="shared" si="13"/>
        <v>7</v>
      </c>
      <c r="K55" s="25">
        <f t="shared" si="14"/>
        <v>5</v>
      </c>
    </row>
    <row r="56" spans="1:11" x14ac:dyDescent="0.3">
      <c r="A56" s="90"/>
      <c r="B56">
        <v>1.9E-2</v>
      </c>
      <c r="C56">
        <v>1.1979999999999999E-2</v>
      </c>
      <c r="D56">
        <v>5.2300000000000003E-3</v>
      </c>
      <c r="E56">
        <v>5.0000000000000001E-3</v>
      </c>
      <c r="F56">
        <v>4.0000000000000001E-3</v>
      </c>
      <c r="G56">
        <f t="shared" si="10"/>
        <v>19</v>
      </c>
      <c r="H56">
        <f t="shared" si="11"/>
        <v>11.979999999999999</v>
      </c>
      <c r="I56">
        <f t="shared" si="12"/>
        <v>5.23</v>
      </c>
      <c r="J56" s="25">
        <f t="shared" si="13"/>
        <v>5</v>
      </c>
      <c r="K56" s="25">
        <f t="shared" si="14"/>
        <v>4</v>
      </c>
    </row>
    <row r="57" spans="1:11" x14ac:dyDescent="0.3">
      <c r="A57" s="90"/>
      <c r="B57">
        <v>0.02</v>
      </c>
      <c r="C57">
        <v>1.196E-2</v>
      </c>
      <c r="D57">
        <v>5.2500000000000003E-3</v>
      </c>
      <c r="E57">
        <v>4.0000000000000001E-3</v>
      </c>
      <c r="F57">
        <v>3.0000000000000001E-3</v>
      </c>
      <c r="G57">
        <f t="shared" si="10"/>
        <v>20</v>
      </c>
      <c r="H57">
        <f t="shared" si="11"/>
        <v>11.96</v>
      </c>
      <c r="I57">
        <f t="shared" si="12"/>
        <v>5.25</v>
      </c>
      <c r="J57" s="25">
        <f t="shared" si="13"/>
        <v>4</v>
      </c>
      <c r="K57" s="25">
        <f t="shared" si="14"/>
        <v>3</v>
      </c>
    </row>
    <row r="58" spans="1:11" x14ac:dyDescent="0.3">
      <c r="A58" s="90"/>
      <c r="B58">
        <v>2.1000000000000001E-2</v>
      </c>
      <c r="C58">
        <v>1.193E-2</v>
      </c>
      <c r="D58">
        <v>5.2599999999999999E-3</v>
      </c>
      <c r="E58">
        <v>4.0000000000000001E-3</v>
      </c>
      <c r="F58">
        <v>3.0000000000000001E-3</v>
      </c>
      <c r="G58">
        <f t="shared" si="10"/>
        <v>21</v>
      </c>
      <c r="H58">
        <f t="shared" si="11"/>
        <v>11.93</v>
      </c>
      <c r="I58">
        <f t="shared" si="12"/>
        <v>5.26</v>
      </c>
      <c r="J58" s="25">
        <f t="shared" si="13"/>
        <v>4</v>
      </c>
      <c r="K58" s="25">
        <f t="shared" si="14"/>
        <v>3</v>
      </c>
    </row>
    <row r="59" spans="1:11" x14ac:dyDescent="0.3">
      <c r="A59" s="90"/>
      <c r="B59">
        <v>2.1999999999999999E-2</v>
      </c>
      <c r="C59">
        <v>1.192E-2</v>
      </c>
      <c r="D59">
        <v>5.2700000000000004E-3</v>
      </c>
      <c r="E59">
        <v>3.0000000000000001E-3</v>
      </c>
      <c r="F59">
        <v>1E-3</v>
      </c>
      <c r="G59">
        <f t="shared" si="10"/>
        <v>22</v>
      </c>
      <c r="H59">
        <f t="shared" si="11"/>
        <v>11.92</v>
      </c>
      <c r="I59">
        <f t="shared" si="12"/>
        <v>5.2700000000000005</v>
      </c>
      <c r="J59" s="25">
        <f t="shared" si="13"/>
        <v>3</v>
      </c>
      <c r="K59" s="25">
        <f t="shared" si="14"/>
        <v>1</v>
      </c>
    </row>
    <row r="60" spans="1:11" x14ac:dyDescent="0.3">
      <c r="A60" s="90"/>
      <c r="B60">
        <v>2.3E-2</v>
      </c>
      <c r="C60">
        <v>1.192E-2</v>
      </c>
      <c r="D60">
        <v>5.3099999999999996E-3</v>
      </c>
      <c r="E60">
        <v>3.0000000000000001E-3</v>
      </c>
      <c r="F60">
        <v>2E-3</v>
      </c>
      <c r="G60">
        <f t="shared" si="10"/>
        <v>23</v>
      </c>
      <c r="H60">
        <f t="shared" si="11"/>
        <v>11.92</v>
      </c>
      <c r="I60">
        <f t="shared" si="12"/>
        <v>5.31</v>
      </c>
      <c r="J60" s="25">
        <f t="shared" si="13"/>
        <v>3</v>
      </c>
      <c r="K60" s="25">
        <f t="shared" si="14"/>
        <v>2</v>
      </c>
    </row>
    <row r="61" spans="1:11" x14ac:dyDescent="0.3">
      <c r="A61" s="90"/>
      <c r="B61">
        <v>2.4E-2</v>
      </c>
      <c r="C61">
        <v>1.192E-2</v>
      </c>
      <c r="D61">
        <v>5.3299999999999997E-3</v>
      </c>
      <c r="E61">
        <v>3.0000000000000001E-3</v>
      </c>
      <c r="F61">
        <v>1E-3</v>
      </c>
      <c r="G61">
        <f t="shared" si="10"/>
        <v>24</v>
      </c>
      <c r="H61">
        <f t="shared" si="11"/>
        <v>11.92</v>
      </c>
      <c r="I61">
        <f t="shared" si="12"/>
        <v>5.33</v>
      </c>
      <c r="J61" s="25">
        <f t="shared" si="13"/>
        <v>3</v>
      </c>
      <c r="K61" s="25">
        <f t="shared" si="14"/>
        <v>1</v>
      </c>
    </row>
    <row r="62" spans="1:11" x14ac:dyDescent="0.3">
      <c r="A62" s="90"/>
      <c r="B62">
        <v>2.5000000000000001E-2</v>
      </c>
      <c r="C62">
        <v>1.192E-2</v>
      </c>
      <c r="D62">
        <v>5.3299999999999997E-3</v>
      </c>
      <c r="E62">
        <v>4.0000000000000001E-3</v>
      </c>
      <c r="F62">
        <v>1E-3</v>
      </c>
      <c r="G62">
        <f t="shared" si="10"/>
        <v>25</v>
      </c>
      <c r="H62">
        <f t="shared" si="11"/>
        <v>11.92</v>
      </c>
      <c r="I62">
        <f t="shared" si="12"/>
        <v>5.33</v>
      </c>
      <c r="J62" s="25">
        <f t="shared" si="13"/>
        <v>4</v>
      </c>
      <c r="K62" s="25">
        <f t="shared" si="14"/>
        <v>1</v>
      </c>
    </row>
    <row r="63" spans="1:11" x14ac:dyDescent="0.3">
      <c r="A63" s="90"/>
      <c r="B63">
        <v>2.5999999999999999E-2</v>
      </c>
      <c r="C63">
        <v>1.192E-2</v>
      </c>
      <c r="D63">
        <v>5.3400000000000001E-3</v>
      </c>
      <c r="E63">
        <v>4.0000000000000001E-3</v>
      </c>
      <c r="F63">
        <v>2E-3</v>
      </c>
      <c r="G63">
        <f t="shared" si="10"/>
        <v>26</v>
      </c>
      <c r="H63">
        <f t="shared" si="11"/>
        <v>11.92</v>
      </c>
      <c r="I63">
        <f t="shared" si="12"/>
        <v>5.34</v>
      </c>
      <c r="J63" s="25">
        <f t="shared" si="13"/>
        <v>4</v>
      </c>
      <c r="K63" s="25">
        <f t="shared" si="14"/>
        <v>2</v>
      </c>
    </row>
    <row r="64" spans="1:11" x14ac:dyDescent="0.3">
      <c r="A64" s="90"/>
      <c r="B64">
        <v>2.7E-2</v>
      </c>
      <c r="C64">
        <v>1.1939999999999999E-2</v>
      </c>
      <c r="D64">
        <v>5.3400000000000001E-3</v>
      </c>
      <c r="E64">
        <v>5.0000000000000001E-3</v>
      </c>
      <c r="F64">
        <v>2E-3</v>
      </c>
      <c r="G64">
        <f t="shared" si="10"/>
        <v>27</v>
      </c>
      <c r="H64">
        <f t="shared" si="11"/>
        <v>11.94</v>
      </c>
      <c r="I64">
        <f t="shared" si="12"/>
        <v>5.34</v>
      </c>
      <c r="J64" s="25">
        <f t="shared" si="13"/>
        <v>5</v>
      </c>
      <c r="K64" s="25">
        <f t="shared" si="14"/>
        <v>2</v>
      </c>
    </row>
    <row r="65" spans="1:11" x14ac:dyDescent="0.3">
      <c r="A65" s="90"/>
      <c r="B65">
        <v>2.8000000000000001E-2</v>
      </c>
      <c r="C65">
        <v>1.196E-2</v>
      </c>
      <c r="D65">
        <v>5.3400000000000001E-3</v>
      </c>
      <c r="E65">
        <v>5.0000000000000001E-3</v>
      </c>
      <c r="F65">
        <v>2E-3</v>
      </c>
      <c r="G65">
        <f t="shared" si="10"/>
        <v>28</v>
      </c>
      <c r="H65">
        <f t="shared" si="11"/>
        <v>11.96</v>
      </c>
      <c r="I65">
        <f t="shared" si="12"/>
        <v>5.34</v>
      </c>
      <c r="J65" s="25">
        <f t="shared" si="13"/>
        <v>5</v>
      </c>
      <c r="K65" s="25">
        <f t="shared" si="14"/>
        <v>2</v>
      </c>
    </row>
    <row r="66" spans="1:11" x14ac:dyDescent="0.3">
      <c r="A66" s="42"/>
      <c r="B66">
        <v>2.9000000000000001E-2</v>
      </c>
      <c r="C66">
        <v>1.1979999999999999E-2</v>
      </c>
      <c r="D66">
        <v>5.2300000000000003E-3</v>
      </c>
      <c r="E66">
        <v>5.0000000000000001E-3</v>
      </c>
      <c r="F66">
        <v>4.0000000000000001E-3</v>
      </c>
      <c r="G66">
        <f t="shared" si="10"/>
        <v>29</v>
      </c>
      <c r="H66">
        <f t="shared" si="11"/>
        <v>11.979999999999999</v>
      </c>
      <c r="I66">
        <f t="shared" si="12"/>
        <v>5.23</v>
      </c>
      <c r="J66" s="25">
        <f t="shared" si="13"/>
        <v>5</v>
      </c>
      <c r="K66" s="25">
        <f t="shared" si="14"/>
        <v>4</v>
      </c>
    </row>
    <row r="67" spans="1:11" x14ac:dyDescent="0.3">
      <c r="A67" s="77" t="s">
        <v>30</v>
      </c>
      <c r="B67" s="77" t="s">
        <v>29</v>
      </c>
      <c r="C67" s="77"/>
      <c r="D67" s="77"/>
      <c r="E67" s="106" t="s">
        <v>36</v>
      </c>
      <c r="F67" s="106"/>
      <c r="G67" s="106" t="s">
        <v>29</v>
      </c>
      <c r="H67" s="106"/>
      <c r="I67" s="106"/>
      <c r="J67" s="77" t="s">
        <v>36</v>
      </c>
      <c r="K67" s="77"/>
    </row>
    <row r="68" spans="1:11" x14ac:dyDescent="0.3">
      <c r="A68" s="77"/>
      <c r="B68" t="s">
        <v>28</v>
      </c>
      <c r="C68" t="s">
        <v>27</v>
      </c>
      <c r="D68" t="s">
        <v>8</v>
      </c>
      <c r="E68" t="s">
        <v>31</v>
      </c>
      <c r="F68" t="s">
        <v>8</v>
      </c>
      <c r="G68" t="s">
        <v>28</v>
      </c>
      <c r="H68" t="s">
        <v>27</v>
      </c>
      <c r="I68" t="s">
        <v>8</v>
      </c>
      <c r="J68" t="s">
        <v>31</v>
      </c>
      <c r="K68" t="s">
        <v>8</v>
      </c>
    </row>
    <row r="69" spans="1:11" x14ac:dyDescent="0.3">
      <c r="A69" s="90" t="s">
        <v>69</v>
      </c>
      <c r="B69">
        <v>0.01</v>
      </c>
      <c r="C69">
        <v>7.0899999999999999E-3</v>
      </c>
      <c r="D69">
        <v>3.81E-3</v>
      </c>
      <c r="E69">
        <v>1.7999999999999999E-2</v>
      </c>
      <c r="F69">
        <v>0.01</v>
      </c>
      <c r="G69">
        <f>B69*1000</f>
        <v>10</v>
      </c>
      <c r="H69">
        <f>C69*1000</f>
        <v>7.09</v>
      </c>
      <c r="I69">
        <f>D69*1000</f>
        <v>3.81</v>
      </c>
      <c r="J69" s="25">
        <f>E69*1000</f>
        <v>18</v>
      </c>
      <c r="K69" s="25">
        <f>F69*1000</f>
        <v>10</v>
      </c>
    </row>
    <row r="70" spans="1:11" x14ac:dyDescent="0.3">
      <c r="A70" s="90"/>
      <c r="B70">
        <v>1.0999999999999999E-2</v>
      </c>
      <c r="C70">
        <v>6.9800000000000001E-3</v>
      </c>
      <c r="D70">
        <v>3.8400000000000001E-3</v>
      </c>
      <c r="E70">
        <v>1.7000000000000001E-2</v>
      </c>
      <c r="F70">
        <v>7.0000000000000001E-3</v>
      </c>
      <c r="G70">
        <f t="shared" ref="G70:G87" si="15">B70*1000</f>
        <v>11</v>
      </c>
      <c r="H70">
        <f t="shared" ref="H70:H87" si="16">C70*1000</f>
        <v>6.98</v>
      </c>
      <c r="I70">
        <f t="shared" ref="I70:I87" si="17">D70*1000</f>
        <v>3.8400000000000003</v>
      </c>
      <c r="J70" s="25">
        <f t="shared" ref="J70:J87" si="18">E70*1000</f>
        <v>17</v>
      </c>
      <c r="K70" s="25">
        <f t="shared" ref="K70:K87" si="19">F70*1000</f>
        <v>7</v>
      </c>
    </row>
    <row r="71" spans="1:11" x14ac:dyDescent="0.3">
      <c r="A71" s="90"/>
      <c r="B71">
        <v>1.2E-2</v>
      </c>
      <c r="C71">
        <v>6.8900000000000003E-3</v>
      </c>
      <c r="D71">
        <v>3.8700000000000002E-3</v>
      </c>
      <c r="E71">
        <v>1.6E-2</v>
      </c>
      <c r="F71">
        <v>0.01</v>
      </c>
      <c r="G71">
        <f t="shared" si="15"/>
        <v>12</v>
      </c>
      <c r="H71">
        <f t="shared" si="16"/>
        <v>6.8900000000000006</v>
      </c>
      <c r="I71">
        <f t="shared" si="17"/>
        <v>3.87</v>
      </c>
      <c r="J71" s="25">
        <f t="shared" si="18"/>
        <v>16</v>
      </c>
      <c r="K71" s="25">
        <f t="shared" si="19"/>
        <v>10</v>
      </c>
    </row>
    <row r="72" spans="1:11" x14ac:dyDescent="0.3">
      <c r="A72" s="90"/>
      <c r="B72">
        <v>1.2999999999999999E-2</v>
      </c>
      <c r="C72">
        <v>6.79E-3</v>
      </c>
      <c r="D72">
        <v>3.8999999999999998E-3</v>
      </c>
      <c r="E72">
        <v>1.6E-2</v>
      </c>
      <c r="F72">
        <v>0.01</v>
      </c>
      <c r="G72">
        <f t="shared" si="15"/>
        <v>13</v>
      </c>
      <c r="H72">
        <f t="shared" si="16"/>
        <v>6.79</v>
      </c>
      <c r="I72">
        <f t="shared" si="17"/>
        <v>3.9</v>
      </c>
      <c r="J72" s="25">
        <f t="shared" si="18"/>
        <v>16</v>
      </c>
      <c r="K72" s="25">
        <f t="shared" si="19"/>
        <v>10</v>
      </c>
    </row>
    <row r="73" spans="1:11" x14ac:dyDescent="0.3">
      <c r="A73" s="90"/>
      <c r="B73">
        <v>1.4E-2</v>
      </c>
      <c r="C73">
        <v>6.7099999999999998E-3</v>
      </c>
      <c r="D73">
        <v>3.9300000000000003E-3</v>
      </c>
      <c r="E73">
        <v>1.2999999999999999E-2</v>
      </c>
      <c r="F73">
        <v>0.01</v>
      </c>
      <c r="G73">
        <f t="shared" si="15"/>
        <v>14</v>
      </c>
      <c r="H73">
        <f t="shared" si="16"/>
        <v>6.71</v>
      </c>
      <c r="I73">
        <f t="shared" si="17"/>
        <v>3.93</v>
      </c>
      <c r="J73" s="25">
        <f t="shared" si="18"/>
        <v>13</v>
      </c>
      <c r="K73" s="25">
        <f t="shared" si="19"/>
        <v>10</v>
      </c>
    </row>
    <row r="74" spans="1:11" x14ac:dyDescent="0.3">
      <c r="A74" s="90"/>
      <c r="B74">
        <v>1.4999999999999999E-2</v>
      </c>
      <c r="C74">
        <v>6.6499999999999997E-3</v>
      </c>
      <c r="D74">
        <v>3.98E-3</v>
      </c>
      <c r="E74">
        <v>1.2E-2</v>
      </c>
      <c r="F74">
        <v>0.01</v>
      </c>
      <c r="G74">
        <f t="shared" si="15"/>
        <v>15</v>
      </c>
      <c r="H74">
        <f t="shared" si="16"/>
        <v>6.6499999999999995</v>
      </c>
      <c r="I74">
        <f t="shared" si="17"/>
        <v>3.98</v>
      </c>
      <c r="J74" s="25">
        <f t="shared" si="18"/>
        <v>12</v>
      </c>
      <c r="K74" s="25">
        <f t="shared" si="19"/>
        <v>10</v>
      </c>
    </row>
    <row r="75" spans="1:11" x14ac:dyDescent="0.3">
      <c r="A75" s="90"/>
      <c r="B75">
        <v>1.6E-2</v>
      </c>
      <c r="C75">
        <v>6.5599999999999999E-3</v>
      </c>
      <c r="D75">
        <v>4.0000000000000001E-3</v>
      </c>
      <c r="E75">
        <v>1.2E-2</v>
      </c>
      <c r="F75">
        <v>8.9999999999999993E-3</v>
      </c>
      <c r="G75">
        <f t="shared" si="15"/>
        <v>16</v>
      </c>
      <c r="H75">
        <f t="shared" si="16"/>
        <v>6.56</v>
      </c>
      <c r="I75">
        <f t="shared" si="17"/>
        <v>4</v>
      </c>
      <c r="J75" s="25">
        <f t="shared" si="18"/>
        <v>12</v>
      </c>
      <c r="K75" s="25">
        <f t="shared" si="19"/>
        <v>9</v>
      </c>
    </row>
    <row r="76" spans="1:11" x14ac:dyDescent="0.3">
      <c r="A76" s="90"/>
      <c r="B76">
        <v>1.7000000000000001E-2</v>
      </c>
      <c r="C76">
        <v>6.4999999999999997E-3</v>
      </c>
      <c r="D76">
        <v>4.0299999999999997E-3</v>
      </c>
      <c r="E76">
        <v>1.0999999999999999E-2</v>
      </c>
      <c r="F76">
        <v>7.0000000000000001E-3</v>
      </c>
      <c r="G76">
        <f t="shared" si="15"/>
        <v>17</v>
      </c>
      <c r="H76">
        <f t="shared" si="16"/>
        <v>6.5</v>
      </c>
      <c r="I76">
        <f t="shared" si="17"/>
        <v>4.0299999999999994</v>
      </c>
      <c r="J76" s="25">
        <f t="shared" si="18"/>
        <v>11</v>
      </c>
      <c r="K76" s="25">
        <f t="shared" si="19"/>
        <v>7</v>
      </c>
    </row>
    <row r="77" spans="1:11" x14ac:dyDescent="0.3">
      <c r="A77" s="90"/>
      <c r="B77">
        <v>1.7999999999999999E-2</v>
      </c>
      <c r="C77">
        <v>6.4400000000000004E-3</v>
      </c>
      <c r="D77">
        <v>4.0600000000000002E-3</v>
      </c>
      <c r="E77">
        <v>8.9999999999999993E-3</v>
      </c>
      <c r="F77">
        <v>6.0000000000000001E-3</v>
      </c>
      <c r="G77">
        <f t="shared" si="15"/>
        <v>18</v>
      </c>
      <c r="H77">
        <f t="shared" si="16"/>
        <v>6.44</v>
      </c>
      <c r="I77">
        <f t="shared" si="17"/>
        <v>4.0600000000000005</v>
      </c>
      <c r="J77" s="25">
        <f t="shared" si="18"/>
        <v>9</v>
      </c>
      <c r="K77" s="25">
        <f t="shared" si="19"/>
        <v>6</v>
      </c>
    </row>
    <row r="78" spans="1:11" x14ac:dyDescent="0.3">
      <c r="A78" s="90"/>
      <c r="B78">
        <v>1.9E-2</v>
      </c>
      <c r="C78">
        <v>6.3899999999999998E-3</v>
      </c>
      <c r="D78">
        <v>4.1000000000000003E-3</v>
      </c>
      <c r="E78">
        <v>8.0000000000000002E-3</v>
      </c>
      <c r="F78">
        <v>6.0000000000000001E-3</v>
      </c>
      <c r="G78">
        <f t="shared" si="15"/>
        <v>19</v>
      </c>
      <c r="H78">
        <f t="shared" si="16"/>
        <v>6.39</v>
      </c>
      <c r="I78">
        <f t="shared" si="17"/>
        <v>4.1000000000000005</v>
      </c>
      <c r="J78" s="25">
        <f t="shared" si="18"/>
        <v>8</v>
      </c>
      <c r="K78" s="25">
        <f t="shared" si="19"/>
        <v>6</v>
      </c>
    </row>
    <row r="79" spans="1:11" x14ac:dyDescent="0.3">
      <c r="A79" s="90"/>
      <c r="B79">
        <v>0.02</v>
      </c>
      <c r="C79">
        <v>6.3400000000000001E-3</v>
      </c>
      <c r="D79">
        <v>4.13E-3</v>
      </c>
      <c r="E79">
        <v>7.0000000000000001E-3</v>
      </c>
      <c r="F79">
        <v>8.0000000000000002E-3</v>
      </c>
      <c r="G79">
        <f t="shared" si="15"/>
        <v>20</v>
      </c>
      <c r="H79">
        <f t="shared" si="16"/>
        <v>6.34</v>
      </c>
      <c r="I79">
        <f t="shared" si="17"/>
        <v>4.13</v>
      </c>
      <c r="J79" s="25">
        <f t="shared" si="18"/>
        <v>7</v>
      </c>
      <c r="K79" s="25">
        <f t="shared" si="19"/>
        <v>8</v>
      </c>
    </row>
    <row r="80" spans="1:11" x14ac:dyDescent="0.3">
      <c r="A80" s="90"/>
      <c r="B80">
        <v>2.1000000000000001E-2</v>
      </c>
      <c r="C80">
        <v>6.3099999999999996E-3</v>
      </c>
      <c r="D80">
        <v>4.1599999999999996E-3</v>
      </c>
      <c r="E80">
        <v>6.0000000000000001E-3</v>
      </c>
      <c r="F80">
        <v>6.0000000000000001E-3</v>
      </c>
      <c r="G80">
        <f t="shared" si="15"/>
        <v>21</v>
      </c>
      <c r="H80">
        <f t="shared" si="16"/>
        <v>6.31</v>
      </c>
      <c r="I80">
        <f t="shared" si="17"/>
        <v>4.1599999999999993</v>
      </c>
      <c r="J80" s="25">
        <f t="shared" si="18"/>
        <v>6</v>
      </c>
      <c r="K80" s="25">
        <f t="shared" si="19"/>
        <v>6</v>
      </c>
    </row>
    <row r="81" spans="1:11" x14ac:dyDescent="0.3">
      <c r="A81" s="90"/>
      <c r="B81">
        <v>2.1999999999999999E-2</v>
      </c>
      <c r="C81">
        <v>6.2700000000000004E-3</v>
      </c>
      <c r="D81">
        <v>4.1799999999999997E-3</v>
      </c>
      <c r="E81">
        <v>5.0000000000000001E-3</v>
      </c>
      <c r="F81">
        <v>5.0000000000000001E-3</v>
      </c>
      <c r="G81">
        <f t="shared" si="15"/>
        <v>22</v>
      </c>
      <c r="H81">
        <f t="shared" si="16"/>
        <v>6.2700000000000005</v>
      </c>
      <c r="I81">
        <f t="shared" si="17"/>
        <v>4.18</v>
      </c>
      <c r="J81" s="25">
        <f t="shared" si="18"/>
        <v>5</v>
      </c>
      <c r="K81" s="25">
        <f t="shared" si="19"/>
        <v>5</v>
      </c>
    </row>
    <row r="82" spans="1:11" x14ac:dyDescent="0.3">
      <c r="A82" s="90"/>
      <c r="B82">
        <v>2.3E-2</v>
      </c>
      <c r="C82">
        <v>6.2500000000000003E-3</v>
      </c>
      <c r="D82">
        <v>4.1999999999999997E-3</v>
      </c>
      <c r="E82">
        <v>5.0000000000000001E-3</v>
      </c>
      <c r="F82">
        <v>5.0000000000000001E-3</v>
      </c>
      <c r="G82">
        <f t="shared" si="15"/>
        <v>23</v>
      </c>
      <c r="H82">
        <f t="shared" si="16"/>
        <v>6.25</v>
      </c>
      <c r="I82">
        <f t="shared" si="17"/>
        <v>4.2</v>
      </c>
      <c r="J82" s="25">
        <f t="shared" si="18"/>
        <v>5</v>
      </c>
      <c r="K82" s="25">
        <f t="shared" si="19"/>
        <v>5</v>
      </c>
    </row>
    <row r="83" spans="1:11" x14ac:dyDescent="0.3">
      <c r="A83" s="90"/>
      <c r="B83">
        <v>2.4E-2</v>
      </c>
      <c r="C83">
        <v>6.2300000000000003E-3</v>
      </c>
      <c r="D83">
        <v>4.2199999999999998E-3</v>
      </c>
      <c r="E83">
        <v>4.0000000000000001E-3</v>
      </c>
      <c r="F83">
        <v>4.0000000000000001E-3</v>
      </c>
      <c r="G83">
        <f t="shared" si="15"/>
        <v>24</v>
      </c>
      <c r="H83">
        <f t="shared" si="16"/>
        <v>6.23</v>
      </c>
      <c r="I83">
        <f t="shared" si="17"/>
        <v>4.22</v>
      </c>
      <c r="J83" s="25">
        <f t="shared" si="18"/>
        <v>4</v>
      </c>
      <c r="K83" s="25">
        <f t="shared" si="19"/>
        <v>4</v>
      </c>
    </row>
    <row r="84" spans="1:11" x14ac:dyDescent="0.3">
      <c r="A84" s="90"/>
      <c r="B84">
        <v>2.5000000000000001E-2</v>
      </c>
      <c r="C84">
        <v>6.2199999999999998E-3</v>
      </c>
      <c r="D84">
        <v>4.2300000000000003E-3</v>
      </c>
      <c r="E84">
        <v>4.0000000000000001E-3</v>
      </c>
      <c r="F84">
        <v>4.0000000000000001E-3</v>
      </c>
      <c r="G84">
        <f t="shared" si="15"/>
        <v>25</v>
      </c>
      <c r="H84">
        <f t="shared" si="16"/>
        <v>6.22</v>
      </c>
      <c r="I84">
        <f t="shared" si="17"/>
        <v>4.2300000000000004</v>
      </c>
      <c r="J84" s="25">
        <f t="shared" si="18"/>
        <v>4</v>
      </c>
      <c r="K84" s="25">
        <f t="shared" si="19"/>
        <v>4</v>
      </c>
    </row>
    <row r="85" spans="1:11" x14ac:dyDescent="0.3">
      <c r="A85" s="90"/>
      <c r="B85">
        <v>2.5999999999999999E-2</v>
      </c>
      <c r="C85">
        <v>6.2199999999999998E-3</v>
      </c>
      <c r="D85">
        <v>4.2399999999999998E-3</v>
      </c>
      <c r="E85">
        <v>4.0000000000000001E-3</v>
      </c>
      <c r="F85">
        <v>4.0000000000000001E-3</v>
      </c>
      <c r="G85">
        <f t="shared" si="15"/>
        <v>26</v>
      </c>
      <c r="H85">
        <f t="shared" si="16"/>
        <v>6.22</v>
      </c>
      <c r="I85">
        <f t="shared" si="17"/>
        <v>4.24</v>
      </c>
      <c r="J85" s="25">
        <f t="shared" si="18"/>
        <v>4</v>
      </c>
      <c r="K85" s="25">
        <f t="shared" si="19"/>
        <v>4</v>
      </c>
    </row>
    <row r="86" spans="1:11" x14ac:dyDescent="0.3">
      <c r="A86" s="90"/>
      <c r="B86">
        <v>2.7E-2</v>
      </c>
      <c r="C86">
        <v>6.2199999999999998E-3</v>
      </c>
      <c r="D86">
        <v>4.2500000000000003E-3</v>
      </c>
      <c r="E86">
        <v>4.0000000000000001E-3</v>
      </c>
      <c r="F86">
        <v>3.0000000000000001E-3</v>
      </c>
      <c r="G86">
        <f t="shared" si="15"/>
        <v>27</v>
      </c>
      <c r="H86">
        <f t="shared" si="16"/>
        <v>6.22</v>
      </c>
      <c r="I86">
        <f t="shared" si="17"/>
        <v>4.25</v>
      </c>
      <c r="J86" s="25">
        <f t="shared" si="18"/>
        <v>4</v>
      </c>
      <c r="K86" s="25">
        <f t="shared" si="19"/>
        <v>3</v>
      </c>
    </row>
    <row r="87" spans="1:11" x14ac:dyDescent="0.3">
      <c r="A87" s="90"/>
      <c r="B87">
        <v>2.8000000000000001E-2</v>
      </c>
      <c r="C87">
        <v>6.2300000000000003E-3</v>
      </c>
      <c r="D87">
        <v>4.2500000000000003E-3</v>
      </c>
      <c r="E87">
        <v>5.0000000000000001E-3</v>
      </c>
      <c r="F87">
        <v>2E-3</v>
      </c>
      <c r="G87">
        <f t="shared" si="15"/>
        <v>28</v>
      </c>
      <c r="H87">
        <f t="shared" si="16"/>
        <v>6.23</v>
      </c>
      <c r="I87">
        <f t="shared" si="17"/>
        <v>4.25</v>
      </c>
      <c r="J87" s="25">
        <f t="shared" si="18"/>
        <v>5</v>
      </c>
      <c r="K87" s="25">
        <f t="shared" si="19"/>
        <v>2</v>
      </c>
    </row>
    <row r="88" spans="1:11" x14ac:dyDescent="0.3">
      <c r="A88" s="42"/>
      <c r="B88">
        <v>2.9000000000000001E-2</v>
      </c>
      <c r="C88">
        <v>6.2399999999999999E-3</v>
      </c>
      <c r="D88">
        <v>4.2199999999999998E-3</v>
      </c>
      <c r="E88">
        <v>5.0000000000000001E-3</v>
      </c>
      <c r="F88">
        <v>4.0000000000000001E-3</v>
      </c>
      <c r="G88">
        <f t="shared" ref="G88" si="20">B88*1000</f>
        <v>29</v>
      </c>
      <c r="H88">
        <f t="shared" ref="H88" si="21">C88*1000</f>
        <v>6.24</v>
      </c>
      <c r="I88">
        <f t="shared" ref="I88" si="22">D88*1000</f>
        <v>4.22</v>
      </c>
      <c r="J88" s="25">
        <f t="shared" ref="J88" si="23">E88*1000</f>
        <v>5</v>
      </c>
      <c r="K88" s="25">
        <f t="shared" ref="K88" si="24">F88*1000</f>
        <v>4</v>
      </c>
    </row>
    <row r="89" spans="1:11" x14ac:dyDescent="0.3">
      <c r="A89" s="77" t="s">
        <v>30</v>
      </c>
      <c r="B89" s="77" t="s">
        <v>29</v>
      </c>
      <c r="C89" s="77"/>
      <c r="D89" s="77"/>
      <c r="E89" s="106" t="s">
        <v>36</v>
      </c>
      <c r="F89" s="106"/>
      <c r="G89" s="106" t="s">
        <v>29</v>
      </c>
      <c r="H89" s="106"/>
      <c r="I89" s="106"/>
      <c r="J89" s="77" t="s">
        <v>36</v>
      </c>
      <c r="K89" s="77"/>
    </row>
    <row r="90" spans="1:11" x14ac:dyDescent="0.3">
      <c r="A90" s="77"/>
      <c r="B90" t="s">
        <v>28</v>
      </c>
      <c r="C90" t="s">
        <v>27</v>
      </c>
      <c r="D90" t="s">
        <v>8</v>
      </c>
      <c r="E90" t="s">
        <v>31</v>
      </c>
      <c r="F90" t="s">
        <v>8</v>
      </c>
      <c r="G90" t="s">
        <v>28</v>
      </c>
      <c r="H90" t="s">
        <v>27</v>
      </c>
      <c r="I90" t="s">
        <v>8</v>
      </c>
      <c r="J90" t="s">
        <v>31</v>
      </c>
      <c r="K90" t="s">
        <v>8</v>
      </c>
    </row>
    <row r="91" spans="1:11" x14ac:dyDescent="0.3">
      <c r="A91" s="90" t="s">
        <v>70</v>
      </c>
      <c r="B91">
        <v>0.01</v>
      </c>
      <c r="C91">
        <v>7.2500000000000004E-3</v>
      </c>
      <c r="D91">
        <v>4.1700000000000001E-3</v>
      </c>
      <c r="E91">
        <v>2.1999999999999999E-2</v>
      </c>
      <c r="F91">
        <v>8.9999999999999993E-3</v>
      </c>
      <c r="G91">
        <f>B91*1000</f>
        <v>10</v>
      </c>
      <c r="H91">
        <f>C91*1000</f>
        <v>7.25</v>
      </c>
      <c r="I91">
        <f>D91*1000</f>
        <v>4.17</v>
      </c>
      <c r="J91" s="25">
        <f>E91*1000</f>
        <v>22</v>
      </c>
      <c r="K91" s="25">
        <f>F91*1000</f>
        <v>9</v>
      </c>
    </row>
    <row r="92" spans="1:11" x14ac:dyDescent="0.3">
      <c r="A92" s="90"/>
      <c r="B92">
        <v>1.0999999999999999E-2</v>
      </c>
      <c r="C92">
        <v>7.1500000000000001E-3</v>
      </c>
      <c r="D92">
        <v>4.2199999999999998E-3</v>
      </c>
      <c r="E92">
        <v>1.7000000000000001E-2</v>
      </c>
      <c r="F92">
        <v>7.0000000000000001E-3</v>
      </c>
      <c r="G92">
        <f t="shared" ref="G92:G108" si="25">B92*1000</f>
        <v>11</v>
      </c>
      <c r="H92">
        <f t="shared" ref="H92:H108" si="26">C92*1000</f>
        <v>7.15</v>
      </c>
      <c r="I92">
        <f t="shared" ref="I92:I108" si="27">D92*1000</f>
        <v>4.22</v>
      </c>
      <c r="J92" s="25">
        <f t="shared" ref="J92:J108" si="28">E92*1000</f>
        <v>17</v>
      </c>
      <c r="K92" s="25">
        <f t="shared" ref="K92:K108" si="29">F92*1000</f>
        <v>7</v>
      </c>
    </row>
    <row r="93" spans="1:11" x14ac:dyDescent="0.3">
      <c r="A93" s="90"/>
      <c r="B93">
        <v>1.2E-2</v>
      </c>
      <c r="C93">
        <v>7.0699999999999999E-3</v>
      </c>
      <c r="D93">
        <v>4.28E-3</v>
      </c>
      <c r="E93">
        <v>1.4999999999999999E-2</v>
      </c>
      <c r="F93">
        <v>7.0000000000000001E-3</v>
      </c>
      <c r="G93">
        <f t="shared" si="25"/>
        <v>12</v>
      </c>
      <c r="H93">
        <f t="shared" si="26"/>
        <v>7.07</v>
      </c>
      <c r="I93">
        <f t="shared" si="27"/>
        <v>4.28</v>
      </c>
      <c r="J93" s="25">
        <f t="shared" si="28"/>
        <v>15</v>
      </c>
      <c r="K93" s="25">
        <f t="shared" si="29"/>
        <v>7</v>
      </c>
    </row>
    <row r="94" spans="1:11" x14ac:dyDescent="0.3">
      <c r="A94" s="90"/>
      <c r="B94">
        <v>1.2999999999999999E-2</v>
      </c>
      <c r="C94">
        <v>6.9699999999999996E-3</v>
      </c>
      <c r="D94">
        <v>4.3200000000000001E-3</v>
      </c>
      <c r="E94">
        <v>1.4E-2</v>
      </c>
      <c r="F94">
        <v>8.0000000000000002E-3</v>
      </c>
      <c r="G94">
        <f t="shared" si="25"/>
        <v>13</v>
      </c>
      <c r="H94">
        <f t="shared" si="26"/>
        <v>6.97</v>
      </c>
      <c r="I94">
        <f t="shared" si="27"/>
        <v>4.32</v>
      </c>
      <c r="J94" s="25">
        <f t="shared" si="28"/>
        <v>14</v>
      </c>
      <c r="K94" s="25">
        <f t="shared" si="29"/>
        <v>8</v>
      </c>
    </row>
    <row r="95" spans="1:11" x14ac:dyDescent="0.3">
      <c r="A95" s="90"/>
      <c r="B95">
        <v>1.4E-2</v>
      </c>
      <c r="C95">
        <v>6.8999999999999999E-3</v>
      </c>
      <c r="D95">
        <v>4.3800000000000002E-3</v>
      </c>
      <c r="E95">
        <v>1.2E-2</v>
      </c>
      <c r="F95">
        <v>6.0000000000000001E-3</v>
      </c>
      <c r="G95">
        <f t="shared" si="25"/>
        <v>14</v>
      </c>
      <c r="H95">
        <f t="shared" si="26"/>
        <v>6.8999999999999995</v>
      </c>
      <c r="I95">
        <f t="shared" si="27"/>
        <v>4.38</v>
      </c>
      <c r="J95" s="25">
        <f t="shared" si="28"/>
        <v>12</v>
      </c>
      <c r="K95" s="25">
        <f t="shared" si="29"/>
        <v>6</v>
      </c>
    </row>
    <row r="96" spans="1:11" x14ac:dyDescent="0.3">
      <c r="A96" s="90"/>
      <c r="B96">
        <v>1.4999999999999999E-2</v>
      </c>
      <c r="C96">
        <v>6.8100000000000001E-3</v>
      </c>
      <c r="D96">
        <v>4.4099999999999999E-3</v>
      </c>
      <c r="E96">
        <v>1.0999999999999999E-2</v>
      </c>
      <c r="F96">
        <v>7.0000000000000001E-3</v>
      </c>
      <c r="G96">
        <f t="shared" si="25"/>
        <v>15</v>
      </c>
      <c r="H96">
        <f t="shared" si="26"/>
        <v>6.8100000000000005</v>
      </c>
      <c r="I96">
        <f t="shared" si="27"/>
        <v>4.41</v>
      </c>
      <c r="J96" s="25">
        <f t="shared" si="28"/>
        <v>11</v>
      </c>
      <c r="K96" s="25">
        <f t="shared" si="29"/>
        <v>7</v>
      </c>
    </row>
    <row r="97" spans="1:11" x14ac:dyDescent="0.3">
      <c r="A97" s="90"/>
      <c r="B97">
        <v>1.6E-2</v>
      </c>
      <c r="C97">
        <v>6.7200000000000003E-3</v>
      </c>
      <c r="D97">
        <v>4.4400000000000004E-3</v>
      </c>
      <c r="E97">
        <v>8.9999999999999993E-3</v>
      </c>
      <c r="F97">
        <v>6.0000000000000001E-3</v>
      </c>
      <c r="G97">
        <f t="shared" si="25"/>
        <v>16</v>
      </c>
      <c r="H97">
        <f t="shared" si="26"/>
        <v>6.7200000000000006</v>
      </c>
      <c r="I97">
        <f t="shared" si="27"/>
        <v>4.4400000000000004</v>
      </c>
      <c r="J97" s="25">
        <f t="shared" si="28"/>
        <v>9</v>
      </c>
      <c r="K97" s="25">
        <f t="shared" si="29"/>
        <v>6</v>
      </c>
    </row>
    <row r="98" spans="1:11" x14ac:dyDescent="0.3">
      <c r="A98" s="90"/>
      <c r="B98">
        <v>1.7000000000000001E-2</v>
      </c>
      <c r="C98">
        <v>6.6499999999999997E-3</v>
      </c>
      <c r="D98">
        <v>4.47E-3</v>
      </c>
      <c r="E98">
        <v>8.0000000000000002E-3</v>
      </c>
      <c r="F98">
        <v>6.0000000000000001E-3</v>
      </c>
      <c r="G98">
        <f t="shared" si="25"/>
        <v>17</v>
      </c>
      <c r="H98">
        <f t="shared" si="26"/>
        <v>6.6499999999999995</v>
      </c>
      <c r="I98">
        <f t="shared" si="27"/>
        <v>4.47</v>
      </c>
      <c r="J98" s="25">
        <f t="shared" si="28"/>
        <v>8</v>
      </c>
      <c r="K98" s="25">
        <f t="shared" si="29"/>
        <v>6</v>
      </c>
    </row>
    <row r="99" spans="1:11" x14ac:dyDescent="0.3">
      <c r="A99" s="90"/>
      <c r="B99">
        <v>1.7999999999999999E-2</v>
      </c>
      <c r="C99">
        <v>6.5700000000000003E-3</v>
      </c>
      <c r="D99">
        <v>4.4999999999999997E-3</v>
      </c>
      <c r="E99">
        <v>7.0000000000000001E-3</v>
      </c>
      <c r="F99">
        <v>6.0000000000000001E-3</v>
      </c>
      <c r="G99">
        <f t="shared" si="25"/>
        <v>18</v>
      </c>
      <c r="H99">
        <f t="shared" si="26"/>
        <v>6.57</v>
      </c>
      <c r="I99">
        <f t="shared" si="27"/>
        <v>4.5</v>
      </c>
      <c r="J99" s="25">
        <f t="shared" si="28"/>
        <v>7</v>
      </c>
      <c r="K99" s="25">
        <f t="shared" si="29"/>
        <v>6</v>
      </c>
    </row>
    <row r="100" spans="1:11" x14ac:dyDescent="0.3">
      <c r="A100" s="90"/>
      <c r="B100">
        <v>1.9E-2</v>
      </c>
      <c r="C100">
        <v>6.5199999999999998E-3</v>
      </c>
      <c r="D100">
        <v>4.5399999999999998E-3</v>
      </c>
      <c r="E100">
        <v>6.0000000000000001E-3</v>
      </c>
      <c r="F100">
        <v>5.0000000000000001E-3</v>
      </c>
      <c r="G100">
        <f t="shared" si="25"/>
        <v>19</v>
      </c>
      <c r="H100">
        <f t="shared" si="26"/>
        <v>6.52</v>
      </c>
      <c r="I100">
        <f t="shared" si="27"/>
        <v>4.54</v>
      </c>
      <c r="J100" s="25">
        <f t="shared" si="28"/>
        <v>6</v>
      </c>
      <c r="K100" s="25">
        <f t="shared" si="29"/>
        <v>5</v>
      </c>
    </row>
    <row r="101" spans="1:11" x14ac:dyDescent="0.3">
      <c r="A101" s="90"/>
      <c r="B101">
        <v>0.02</v>
      </c>
      <c r="C101">
        <v>6.4799999999999996E-3</v>
      </c>
      <c r="D101">
        <v>4.5799999999999999E-3</v>
      </c>
      <c r="E101">
        <v>6.0000000000000001E-3</v>
      </c>
      <c r="F101">
        <v>5.0000000000000001E-3</v>
      </c>
      <c r="G101">
        <f t="shared" si="25"/>
        <v>20</v>
      </c>
      <c r="H101">
        <f t="shared" si="26"/>
        <v>6.4799999999999995</v>
      </c>
      <c r="I101">
        <f t="shared" si="27"/>
        <v>4.58</v>
      </c>
      <c r="J101" s="25">
        <f t="shared" si="28"/>
        <v>6</v>
      </c>
      <c r="K101" s="25">
        <f t="shared" si="29"/>
        <v>5</v>
      </c>
    </row>
    <row r="102" spans="1:11" x14ac:dyDescent="0.3">
      <c r="A102" s="90"/>
      <c r="B102">
        <v>2.1000000000000001E-2</v>
      </c>
      <c r="C102">
        <v>6.4400000000000004E-3</v>
      </c>
      <c r="D102">
        <v>4.6100000000000004E-3</v>
      </c>
      <c r="E102">
        <v>5.0000000000000001E-3</v>
      </c>
      <c r="F102">
        <v>5.0000000000000001E-3</v>
      </c>
      <c r="G102">
        <f t="shared" si="25"/>
        <v>21</v>
      </c>
      <c r="H102">
        <f t="shared" si="26"/>
        <v>6.44</v>
      </c>
      <c r="I102">
        <f t="shared" si="27"/>
        <v>4.6100000000000003</v>
      </c>
      <c r="J102" s="25">
        <f t="shared" si="28"/>
        <v>5</v>
      </c>
      <c r="K102" s="25">
        <f t="shared" si="29"/>
        <v>5</v>
      </c>
    </row>
    <row r="103" spans="1:11" x14ac:dyDescent="0.3">
      <c r="A103" s="90"/>
      <c r="B103">
        <v>2.1999999999999999E-2</v>
      </c>
      <c r="C103">
        <v>6.4200000000000004E-3</v>
      </c>
      <c r="D103">
        <v>4.64E-3</v>
      </c>
      <c r="E103">
        <v>4.0000000000000001E-3</v>
      </c>
      <c r="F103">
        <v>3.0000000000000001E-3</v>
      </c>
      <c r="G103">
        <f t="shared" si="25"/>
        <v>22</v>
      </c>
      <c r="H103">
        <f t="shared" si="26"/>
        <v>6.42</v>
      </c>
      <c r="I103">
        <f t="shared" si="27"/>
        <v>4.6399999999999997</v>
      </c>
      <c r="J103" s="25">
        <f t="shared" si="28"/>
        <v>4</v>
      </c>
      <c r="K103" s="25">
        <f t="shared" si="29"/>
        <v>3</v>
      </c>
    </row>
    <row r="104" spans="1:11" x14ac:dyDescent="0.3">
      <c r="A104" s="90"/>
      <c r="B104">
        <v>2.3E-2</v>
      </c>
      <c r="C104">
        <v>6.3899999999999998E-3</v>
      </c>
      <c r="D104">
        <v>4.6600000000000001E-3</v>
      </c>
      <c r="E104">
        <v>3.0000000000000001E-3</v>
      </c>
      <c r="F104">
        <v>1E-3</v>
      </c>
      <c r="G104">
        <f t="shared" si="25"/>
        <v>23</v>
      </c>
      <c r="H104">
        <f t="shared" si="26"/>
        <v>6.39</v>
      </c>
      <c r="I104">
        <f t="shared" si="27"/>
        <v>4.66</v>
      </c>
      <c r="J104" s="25">
        <f t="shared" si="28"/>
        <v>3</v>
      </c>
      <c r="K104" s="25">
        <f t="shared" si="29"/>
        <v>1</v>
      </c>
    </row>
    <row r="105" spans="1:11" x14ac:dyDescent="0.3">
      <c r="A105" s="90"/>
      <c r="B105">
        <v>2.4E-2</v>
      </c>
      <c r="C105">
        <v>6.3699999999999998E-3</v>
      </c>
      <c r="D105">
        <v>4.6600000000000001E-3</v>
      </c>
      <c r="E105">
        <v>3.0000000000000001E-3</v>
      </c>
      <c r="F105">
        <v>1E-3</v>
      </c>
      <c r="G105">
        <f t="shared" si="25"/>
        <v>24</v>
      </c>
      <c r="H105">
        <f t="shared" si="26"/>
        <v>6.37</v>
      </c>
      <c r="I105">
        <f t="shared" si="27"/>
        <v>4.66</v>
      </c>
      <c r="J105" s="25">
        <f t="shared" si="28"/>
        <v>3</v>
      </c>
      <c r="K105" s="25">
        <f t="shared" si="29"/>
        <v>1</v>
      </c>
    </row>
    <row r="106" spans="1:11" x14ac:dyDescent="0.3">
      <c r="A106" s="90"/>
      <c r="B106">
        <v>2.5000000000000001E-2</v>
      </c>
      <c r="C106">
        <v>6.3699999999999998E-3</v>
      </c>
      <c r="D106">
        <v>4.6699999999999997E-3</v>
      </c>
      <c r="E106">
        <v>3.0000000000000001E-3</v>
      </c>
      <c r="F106">
        <v>1E-3</v>
      </c>
      <c r="G106">
        <f t="shared" si="25"/>
        <v>25</v>
      </c>
      <c r="H106">
        <f t="shared" si="26"/>
        <v>6.37</v>
      </c>
      <c r="I106">
        <f t="shared" si="27"/>
        <v>4.67</v>
      </c>
      <c r="J106" s="25">
        <f t="shared" si="28"/>
        <v>3</v>
      </c>
      <c r="K106" s="25">
        <f t="shared" si="29"/>
        <v>1</v>
      </c>
    </row>
    <row r="107" spans="1:11" x14ac:dyDescent="0.3">
      <c r="A107" s="90"/>
      <c r="B107">
        <v>2.5999999999999999E-2</v>
      </c>
      <c r="C107">
        <v>6.3800000000000003E-3</v>
      </c>
      <c r="D107">
        <v>4.6699999999999997E-3</v>
      </c>
      <c r="E107">
        <v>4.0000000000000001E-3</v>
      </c>
      <c r="F107">
        <v>1E-3</v>
      </c>
      <c r="G107">
        <f t="shared" si="25"/>
        <v>26</v>
      </c>
      <c r="H107">
        <f t="shared" si="26"/>
        <v>6.38</v>
      </c>
      <c r="I107">
        <f t="shared" si="27"/>
        <v>4.67</v>
      </c>
      <c r="J107" s="25">
        <f t="shared" si="28"/>
        <v>4</v>
      </c>
      <c r="K107" s="25">
        <f t="shared" si="29"/>
        <v>1</v>
      </c>
    </row>
    <row r="108" spans="1:11" x14ac:dyDescent="0.3">
      <c r="A108" s="90"/>
      <c r="B108">
        <v>2.7E-2</v>
      </c>
      <c r="C108">
        <v>6.3899999999999998E-3</v>
      </c>
      <c r="D108">
        <v>4.6699999999999997E-3</v>
      </c>
      <c r="E108">
        <v>4.0000000000000001E-3</v>
      </c>
      <c r="F108">
        <v>2E-3</v>
      </c>
      <c r="G108">
        <f t="shared" si="25"/>
        <v>27</v>
      </c>
      <c r="H108">
        <f t="shared" si="26"/>
        <v>6.39</v>
      </c>
      <c r="I108">
        <f t="shared" si="27"/>
        <v>4.67</v>
      </c>
      <c r="J108" s="25">
        <f t="shared" si="28"/>
        <v>4</v>
      </c>
      <c r="K108" s="25">
        <f t="shared" si="29"/>
        <v>2</v>
      </c>
    </row>
    <row r="109" spans="1:11" x14ac:dyDescent="0.3">
      <c r="A109" s="90"/>
      <c r="B109">
        <v>2.8000000000000001E-2</v>
      </c>
      <c r="C109" s="43">
        <v>6.4000000000000003E-3</v>
      </c>
      <c r="D109">
        <v>4.64E-3</v>
      </c>
      <c r="E109">
        <v>4.0000000000000001E-3</v>
      </c>
      <c r="F109">
        <v>3.0000000000000001E-3</v>
      </c>
      <c r="G109">
        <f t="shared" ref="G109:G110" si="30">B109*1000</f>
        <v>28</v>
      </c>
      <c r="H109">
        <f t="shared" ref="H109:H110" si="31">C109*1000</f>
        <v>6.4</v>
      </c>
      <c r="I109">
        <f t="shared" ref="I109:I110" si="32">D109*1000</f>
        <v>4.6399999999999997</v>
      </c>
      <c r="J109" s="25">
        <f t="shared" ref="J109:J110" si="33">E109*1000</f>
        <v>4</v>
      </c>
      <c r="K109" s="25">
        <f t="shared" ref="K109:K110" si="34">F109*1000</f>
        <v>3</v>
      </c>
    </row>
    <row r="110" spans="1:11" x14ac:dyDescent="0.3">
      <c r="A110" s="90"/>
      <c r="B110">
        <v>2.9000000000000001E-2</v>
      </c>
      <c r="C110">
        <v>6.4200000000000004E-3</v>
      </c>
      <c r="D110">
        <v>4.64E-3</v>
      </c>
      <c r="E110">
        <v>4.0000000000000001E-3</v>
      </c>
      <c r="F110">
        <v>3.0000000000000001E-3</v>
      </c>
      <c r="G110">
        <f t="shared" si="30"/>
        <v>29</v>
      </c>
      <c r="H110">
        <f t="shared" si="31"/>
        <v>6.42</v>
      </c>
      <c r="I110">
        <f t="shared" si="32"/>
        <v>4.6399999999999997</v>
      </c>
      <c r="J110" s="25">
        <f t="shared" si="33"/>
        <v>4</v>
      </c>
      <c r="K110" s="25">
        <f t="shared" si="34"/>
        <v>3</v>
      </c>
    </row>
    <row r="111" spans="1:11" x14ac:dyDescent="0.3">
      <c r="A111" s="77" t="s">
        <v>30</v>
      </c>
      <c r="B111" s="77" t="s">
        <v>29</v>
      </c>
      <c r="C111" s="77"/>
      <c r="D111" s="77"/>
      <c r="E111" s="106" t="s">
        <v>36</v>
      </c>
      <c r="F111" s="106"/>
      <c r="G111" s="106" t="s">
        <v>29</v>
      </c>
      <c r="H111" s="106"/>
      <c r="I111" s="106"/>
      <c r="J111" s="77" t="s">
        <v>36</v>
      </c>
      <c r="K111" s="77"/>
    </row>
    <row r="112" spans="1:11" x14ac:dyDescent="0.3">
      <c r="A112" s="77"/>
      <c r="B112" t="s">
        <v>28</v>
      </c>
      <c r="C112" t="s">
        <v>27</v>
      </c>
      <c r="D112" t="s">
        <v>8</v>
      </c>
      <c r="E112" t="s">
        <v>31</v>
      </c>
      <c r="F112" t="s">
        <v>8</v>
      </c>
      <c r="G112" t="s">
        <v>28</v>
      </c>
      <c r="H112" t="s">
        <v>27</v>
      </c>
      <c r="I112" t="s">
        <v>8</v>
      </c>
      <c r="J112" t="s">
        <v>31</v>
      </c>
      <c r="K112" t="s">
        <v>8</v>
      </c>
    </row>
    <row r="113" spans="1:11" x14ac:dyDescent="0.3">
      <c r="A113" s="90" t="s">
        <v>71</v>
      </c>
      <c r="B113">
        <v>0.01</v>
      </c>
      <c r="C113">
        <v>7.2300000000000003E-3</v>
      </c>
      <c r="D113">
        <v>3.98E-3</v>
      </c>
      <c r="E113">
        <v>1.9E-2</v>
      </c>
      <c r="F113">
        <v>8.9999999999999993E-3</v>
      </c>
      <c r="G113">
        <f>B113*1000</f>
        <v>10</v>
      </c>
      <c r="H113">
        <f>C113*1000</f>
        <v>7.23</v>
      </c>
      <c r="I113">
        <f>D113*1000</f>
        <v>3.98</v>
      </c>
      <c r="J113" s="25">
        <f>E113*1000</f>
        <v>19</v>
      </c>
      <c r="K113" s="25">
        <f>F113*1000</f>
        <v>9</v>
      </c>
    </row>
    <row r="114" spans="1:11" x14ac:dyDescent="0.3">
      <c r="A114" s="90"/>
      <c r="B114">
        <v>1.0999999999999999E-2</v>
      </c>
      <c r="C114">
        <v>7.1500000000000001E-3</v>
      </c>
      <c r="D114">
        <v>4.0299999999999997E-3</v>
      </c>
      <c r="E114">
        <v>1.7000000000000001E-2</v>
      </c>
      <c r="F114">
        <v>6.0000000000000001E-3</v>
      </c>
      <c r="G114">
        <f t="shared" ref="G114:G129" si="35">B114*1000</f>
        <v>11</v>
      </c>
      <c r="H114">
        <f t="shared" ref="H114:H129" si="36">C114*1000</f>
        <v>7.15</v>
      </c>
      <c r="I114">
        <f t="shared" ref="I114:I129" si="37">D114*1000</f>
        <v>4.0299999999999994</v>
      </c>
      <c r="J114" s="25">
        <f t="shared" ref="J114:J129" si="38">E114*1000</f>
        <v>17</v>
      </c>
      <c r="K114" s="25">
        <f t="shared" ref="K114:K129" si="39">F114*1000</f>
        <v>6</v>
      </c>
    </row>
    <row r="115" spans="1:11" x14ac:dyDescent="0.3">
      <c r="A115" s="90"/>
      <c r="B115">
        <v>1.2E-2</v>
      </c>
      <c r="C115">
        <v>7.0699999999999999E-3</v>
      </c>
      <c r="D115">
        <v>4.0800000000000003E-3</v>
      </c>
      <c r="E115">
        <v>1.7000000000000001E-2</v>
      </c>
      <c r="F115">
        <v>8.9999999999999993E-3</v>
      </c>
      <c r="G115">
        <f t="shared" si="35"/>
        <v>12</v>
      </c>
      <c r="H115">
        <f t="shared" si="36"/>
        <v>7.07</v>
      </c>
      <c r="I115">
        <f t="shared" si="37"/>
        <v>4.08</v>
      </c>
      <c r="J115" s="25">
        <f t="shared" si="38"/>
        <v>17</v>
      </c>
      <c r="K115" s="25">
        <f t="shared" si="39"/>
        <v>9</v>
      </c>
    </row>
    <row r="116" spans="1:11" x14ac:dyDescent="0.3">
      <c r="A116" s="90"/>
      <c r="B116">
        <v>1.2999999999999999E-2</v>
      </c>
      <c r="C116">
        <v>6.9699999999999996E-3</v>
      </c>
      <c r="D116">
        <v>4.13E-3</v>
      </c>
      <c r="E116">
        <v>1.7000000000000001E-2</v>
      </c>
      <c r="F116">
        <v>8.9999999999999993E-3</v>
      </c>
      <c r="G116">
        <f t="shared" si="35"/>
        <v>13</v>
      </c>
      <c r="H116">
        <f t="shared" si="36"/>
        <v>6.97</v>
      </c>
      <c r="I116">
        <f t="shared" si="37"/>
        <v>4.13</v>
      </c>
      <c r="J116" s="25">
        <f t="shared" si="38"/>
        <v>17</v>
      </c>
      <c r="K116" s="25">
        <f t="shared" si="39"/>
        <v>9</v>
      </c>
    </row>
    <row r="117" spans="1:11" x14ac:dyDescent="0.3">
      <c r="A117" s="90"/>
      <c r="B117">
        <v>1.4E-2</v>
      </c>
      <c r="C117">
        <v>6.8900000000000003E-3</v>
      </c>
      <c r="D117">
        <v>4.1700000000000001E-3</v>
      </c>
      <c r="E117">
        <v>1.4999999999999999E-2</v>
      </c>
      <c r="F117">
        <v>7.0000000000000001E-3</v>
      </c>
      <c r="G117">
        <f t="shared" si="35"/>
        <v>14</v>
      </c>
      <c r="H117">
        <f t="shared" si="36"/>
        <v>6.8900000000000006</v>
      </c>
      <c r="I117">
        <f t="shared" si="37"/>
        <v>4.17</v>
      </c>
      <c r="J117" s="25">
        <f t="shared" si="38"/>
        <v>15</v>
      </c>
      <c r="K117" s="25">
        <f t="shared" si="39"/>
        <v>7</v>
      </c>
    </row>
    <row r="118" spans="1:11" x14ac:dyDescent="0.3">
      <c r="A118" s="90"/>
      <c r="B118">
        <v>1.4999999999999999E-2</v>
      </c>
      <c r="C118">
        <v>6.79E-3</v>
      </c>
      <c r="D118">
        <v>4.1999999999999997E-3</v>
      </c>
      <c r="E118">
        <v>1.2999999999999999E-2</v>
      </c>
      <c r="F118">
        <v>8.0000000000000002E-3</v>
      </c>
      <c r="G118">
        <f t="shared" si="35"/>
        <v>15</v>
      </c>
      <c r="H118">
        <f t="shared" si="36"/>
        <v>6.79</v>
      </c>
      <c r="I118">
        <f t="shared" si="37"/>
        <v>4.2</v>
      </c>
      <c r="J118" s="25">
        <f t="shared" si="38"/>
        <v>13</v>
      </c>
      <c r="K118" s="25">
        <f t="shared" si="39"/>
        <v>8</v>
      </c>
    </row>
    <row r="119" spans="1:11" x14ac:dyDescent="0.3">
      <c r="A119" s="90"/>
      <c r="B119">
        <v>1.6E-2</v>
      </c>
      <c r="C119">
        <v>6.7200000000000003E-3</v>
      </c>
      <c r="D119">
        <v>4.2500000000000003E-3</v>
      </c>
      <c r="E119">
        <v>1.0999999999999999E-2</v>
      </c>
      <c r="F119">
        <v>7.0000000000000001E-3</v>
      </c>
      <c r="G119">
        <f t="shared" si="35"/>
        <v>16</v>
      </c>
      <c r="H119">
        <f t="shared" si="36"/>
        <v>6.7200000000000006</v>
      </c>
      <c r="I119">
        <f t="shared" si="37"/>
        <v>4.25</v>
      </c>
      <c r="J119" s="25">
        <f t="shared" si="38"/>
        <v>11</v>
      </c>
      <c r="K119" s="25">
        <f t="shared" si="39"/>
        <v>7</v>
      </c>
    </row>
    <row r="120" spans="1:11" x14ac:dyDescent="0.3">
      <c r="A120" s="90"/>
      <c r="B120">
        <v>1.7000000000000001E-2</v>
      </c>
      <c r="C120">
        <v>6.6400000000000001E-3</v>
      </c>
      <c r="D120">
        <v>4.2900000000000004E-3</v>
      </c>
      <c r="E120">
        <v>0.01</v>
      </c>
      <c r="F120">
        <v>7.0000000000000001E-3</v>
      </c>
      <c r="G120">
        <f t="shared" si="35"/>
        <v>17</v>
      </c>
      <c r="H120">
        <f t="shared" si="36"/>
        <v>6.64</v>
      </c>
      <c r="I120">
        <f t="shared" si="37"/>
        <v>4.29</v>
      </c>
      <c r="J120" s="25">
        <f t="shared" si="38"/>
        <v>10</v>
      </c>
      <c r="K120" s="25">
        <f t="shared" si="39"/>
        <v>7</v>
      </c>
    </row>
    <row r="121" spans="1:11" x14ac:dyDescent="0.3">
      <c r="A121" s="90"/>
      <c r="B121">
        <v>1.7999999999999999E-2</v>
      </c>
      <c r="C121">
        <v>6.5799999999999999E-3</v>
      </c>
      <c r="D121">
        <v>4.3299999999999996E-3</v>
      </c>
      <c r="E121">
        <v>8.9999999999999993E-3</v>
      </c>
      <c r="F121">
        <v>6.0000000000000001E-3</v>
      </c>
      <c r="G121">
        <f t="shared" si="35"/>
        <v>18</v>
      </c>
      <c r="H121">
        <f t="shared" si="36"/>
        <v>6.58</v>
      </c>
      <c r="I121">
        <f t="shared" si="37"/>
        <v>4.33</v>
      </c>
      <c r="J121" s="25">
        <f t="shared" si="38"/>
        <v>9</v>
      </c>
      <c r="K121" s="25">
        <f t="shared" si="39"/>
        <v>6</v>
      </c>
    </row>
    <row r="122" spans="1:11" x14ac:dyDescent="0.3">
      <c r="A122" s="90"/>
      <c r="B122">
        <v>1.9E-2</v>
      </c>
      <c r="C122">
        <v>6.5300000000000002E-3</v>
      </c>
      <c r="D122">
        <v>4.3699999999999998E-3</v>
      </c>
      <c r="E122">
        <v>6.0000000000000001E-3</v>
      </c>
      <c r="F122">
        <v>5.0000000000000001E-3</v>
      </c>
      <c r="G122">
        <f t="shared" si="35"/>
        <v>19</v>
      </c>
      <c r="H122">
        <f t="shared" si="36"/>
        <v>6.53</v>
      </c>
      <c r="I122">
        <f t="shared" si="37"/>
        <v>4.37</v>
      </c>
      <c r="J122" s="25">
        <f t="shared" si="38"/>
        <v>6</v>
      </c>
      <c r="K122" s="25">
        <f t="shared" si="39"/>
        <v>5</v>
      </c>
    </row>
    <row r="123" spans="1:11" x14ac:dyDescent="0.3">
      <c r="A123" s="90"/>
      <c r="B123">
        <v>0.02</v>
      </c>
      <c r="C123">
        <v>6.45E-3</v>
      </c>
      <c r="D123">
        <v>4.4000000000000003E-3</v>
      </c>
      <c r="E123">
        <v>5.0000000000000001E-3</v>
      </c>
      <c r="F123">
        <v>4.0000000000000001E-3</v>
      </c>
      <c r="G123">
        <f t="shared" si="35"/>
        <v>20</v>
      </c>
      <c r="H123">
        <f t="shared" si="36"/>
        <v>6.45</v>
      </c>
      <c r="I123">
        <f t="shared" si="37"/>
        <v>4.4000000000000004</v>
      </c>
      <c r="J123" s="25">
        <f t="shared" si="38"/>
        <v>5</v>
      </c>
      <c r="K123" s="25">
        <f t="shared" si="39"/>
        <v>4</v>
      </c>
    </row>
    <row r="124" spans="1:11" x14ac:dyDescent="0.3">
      <c r="A124" s="90"/>
      <c r="B124">
        <v>2.1000000000000001E-2</v>
      </c>
      <c r="C124">
        <v>6.4000000000000003E-3</v>
      </c>
      <c r="D124">
        <v>4.4299999999999999E-3</v>
      </c>
      <c r="E124">
        <v>5.0000000000000001E-3</v>
      </c>
      <c r="F124">
        <v>5.0000000000000001E-3</v>
      </c>
      <c r="G124">
        <f t="shared" si="35"/>
        <v>21</v>
      </c>
      <c r="H124">
        <f t="shared" si="36"/>
        <v>6.4</v>
      </c>
      <c r="I124">
        <f t="shared" si="37"/>
        <v>4.43</v>
      </c>
      <c r="J124" s="25">
        <f t="shared" si="38"/>
        <v>5</v>
      </c>
      <c r="K124" s="25">
        <f t="shared" si="39"/>
        <v>5</v>
      </c>
    </row>
    <row r="125" spans="1:11" x14ac:dyDescent="0.3">
      <c r="A125" s="90"/>
      <c r="B125">
        <v>2.1999999999999999E-2</v>
      </c>
      <c r="C125">
        <v>6.3499999999999997E-3</v>
      </c>
      <c r="D125">
        <v>4.45E-3</v>
      </c>
      <c r="E125">
        <v>5.0000000000000001E-3</v>
      </c>
      <c r="F125">
        <v>5.0000000000000001E-3</v>
      </c>
      <c r="G125">
        <f t="shared" si="35"/>
        <v>22</v>
      </c>
      <c r="H125">
        <f t="shared" si="36"/>
        <v>6.35</v>
      </c>
      <c r="I125">
        <f t="shared" si="37"/>
        <v>4.45</v>
      </c>
      <c r="J125" s="25">
        <f t="shared" si="38"/>
        <v>5</v>
      </c>
      <c r="K125" s="25">
        <f t="shared" si="39"/>
        <v>5</v>
      </c>
    </row>
    <row r="126" spans="1:11" x14ac:dyDescent="0.3">
      <c r="A126" s="90"/>
      <c r="B126">
        <v>2.3E-2</v>
      </c>
      <c r="C126">
        <v>6.3E-3</v>
      </c>
      <c r="D126">
        <v>4.47E-3</v>
      </c>
      <c r="E126">
        <v>5.0000000000000001E-3</v>
      </c>
      <c r="F126">
        <v>4.0000000000000001E-3</v>
      </c>
      <c r="G126">
        <f t="shared" si="35"/>
        <v>23</v>
      </c>
      <c r="H126">
        <f t="shared" si="36"/>
        <v>6.3</v>
      </c>
      <c r="I126">
        <f t="shared" si="37"/>
        <v>4.47</v>
      </c>
      <c r="J126" s="25">
        <f t="shared" si="38"/>
        <v>5</v>
      </c>
      <c r="K126" s="25">
        <f t="shared" si="39"/>
        <v>4</v>
      </c>
    </row>
    <row r="127" spans="1:11" x14ac:dyDescent="0.3">
      <c r="A127" s="90"/>
      <c r="B127">
        <v>2.4E-2</v>
      </c>
      <c r="C127">
        <v>6.2500000000000003E-3</v>
      </c>
      <c r="D127">
        <v>4.4799999999999996E-3</v>
      </c>
      <c r="E127">
        <v>4.0000000000000001E-3</v>
      </c>
      <c r="F127">
        <v>4.0000000000000001E-3</v>
      </c>
      <c r="G127">
        <f t="shared" si="35"/>
        <v>24</v>
      </c>
      <c r="H127">
        <f t="shared" si="36"/>
        <v>6.25</v>
      </c>
      <c r="I127">
        <f t="shared" si="37"/>
        <v>4.4799999999999995</v>
      </c>
      <c r="J127" s="25">
        <f t="shared" si="38"/>
        <v>4</v>
      </c>
      <c r="K127" s="25">
        <f t="shared" si="39"/>
        <v>4</v>
      </c>
    </row>
    <row r="128" spans="1:11" x14ac:dyDescent="0.3">
      <c r="A128" s="90"/>
      <c r="B128">
        <v>2.5000000000000001E-2</v>
      </c>
      <c r="C128">
        <v>6.2199999999999998E-3</v>
      </c>
      <c r="D128">
        <v>4.4900000000000001E-3</v>
      </c>
      <c r="E128">
        <v>4.0000000000000001E-3</v>
      </c>
      <c r="F128">
        <v>3.0000000000000001E-3</v>
      </c>
      <c r="G128">
        <f t="shared" si="35"/>
        <v>25</v>
      </c>
      <c r="H128">
        <f t="shared" si="36"/>
        <v>6.22</v>
      </c>
      <c r="I128">
        <f t="shared" si="37"/>
        <v>4.49</v>
      </c>
      <c r="J128" s="25">
        <f t="shared" si="38"/>
        <v>4</v>
      </c>
      <c r="K128" s="25">
        <f t="shared" si="39"/>
        <v>3</v>
      </c>
    </row>
    <row r="129" spans="1:11" x14ac:dyDescent="0.3">
      <c r="A129" s="90"/>
      <c r="B129">
        <v>2.5999999999999999E-2</v>
      </c>
      <c r="C129">
        <v>6.2199999999999998E-3</v>
      </c>
      <c r="D129">
        <v>4.5100000000000001E-3</v>
      </c>
      <c r="E129">
        <v>4.0000000000000001E-3</v>
      </c>
      <c r="F129">
        <v>3.0000000000000001E-3</v>
      </c>
      <c r="G129">
        <f t="shared" si="35"/>
        <v>26</v>
      </c>
      <c r="H129">
        <f t="shared" si="36"/>
        <v>6.22</v>
      </c>
      <c r="I129">
        <f t="shared" si="37"/>
        <v>4.51</v>
      </c>
      <c r="J129" s="25">
        <f t="shared" si="38"/>
        <v>4</v>
      </c>
      <c r="K129" s="25">
        <f t="shared" si="39"/>
        <v>3</v>
      </c>
    </row>
    <row r="130" spans="1:11" x14ac:dyDescent="0.3">
      <c r="A130" s="90"/>
      <c r="B130">
        <v>2.7E-2</v>
      </c>
      <c r="C130">
        <v>6.2300000000000003E-3</v>
      </c>
      <c r="D130">
        <v>4.5199999999999997E-3</v>
      </c>
      <c r="E130">
        <v>5.0000000000000001E-3</v>
      </c>
      <c r="F130">
        <v>4.0000000000000001E-3</v>
      </c>
      <c r="G130">
        <f t="shared" ref="G130:G132" si="40">B130*1000</f>
        <v>27</v>
      </c>
      <c r="H130">
        <f t="shared" ref="H130:H132" si="41">C130*1000</f>
        <v>6.23</v>
      </c>
      <c r="I130">
        <f t="shared" ref="I130:I132" si="42">D130*1000</f>
        <v>4.5199999999999996</v>
      </c>
      <c r="J130" s="25">
        <f t="shared" ref="J130:J132" si="43">E130*1000</f>
        <v>5</v>
      </c>
      <c r="K130" s="25">
        <f t="shared" ref="K130:K132" si="44">F130*1000</f>
        <v>4</v>
      </c>
    </row>
    <row r="131" spans="1:11" x14ac:dyDescent="0.3">
      <c r="A131" s="90"/>
      <c r="B131">
        <v>2.8000000000000001E-2</v>
      </c>
      <c r="C131">
        <v>6.2199999999999998E-3</v>
      </c>
      <c r="D131">
        <v>4.5300000000000002E-3</v>
      </c>
      <c r="E131">
        <v>6.0000000000000001E-3</v>
      </c>
      <c r="F131">
        <v>5.0000000000000001E-3</v>
      </c>
      <c r="G131">
        <f t="shared" si="40"/>
        <v>28</v>
      </c>
      <c r="H131">
        <f t="shared" si="41"/>
        <v>6.22</v>
      </c>
      <c r="I131">
        <f t="shared" si="42"/>
        <v>4.53</v>
      </c>
      <c r="J131" s="25">
        <f t="shared" si="43"/>
        <v>6</v>
      </c>
      <c r="K131" s="25">
        <f t="shared" si="44"/>
        <v>5</v>
      </c>
    </row>
    <row r="132" spans="1:11" x14ac:dyDescent="0.3">
      <c r="B132">
        <v>2.9000000000000001E-2</v>
      </c>
      <c r="C132">
        <v>6.2199999999999998E-3</v>
      </c>
      <c r="D132">
        <v>4.5399999999999998E-3</v>
      </c>
      <c r="E132">
        <v>6.0000000000000001E-3</v>
      </c>
      <c r="F132">
        <v>5.0000000000000001E-3</v>
      </c>
      <c r="G132">
        <f t="shared" si="40"/>
        <v>29</v>
      </c>
      <c r="H132">
        <f t="shared" si="41"/>
        <v>6.22</v>
      </c>
      <c r="I132">
        <f t="shared" si="42"/>
        <v>4.54</v>
      </c>
      <c r="J132" s="25">
        <f t="shared" si="43"/>
        <v>6</v>
      </c>
      <c r="K132" s="25">
        <f t="shared" si="44"/>
        <v>5</v>
      </c>
    </row>
  </sheetData>
  <mergeCells count="36">
    <mergeCell ref="A3:A22"/>
    <mergeCell ref="A25:A44"/>
    <mergeCell ref="G23:I23"/>
    <mergeCell ref="B23:D23"/>
    <mergeCell ref="E23:F23"/>
    <mergeCell ref="B1:D1"/>
    <mergeCell ref="E1:F1"/>
    <mergeCell ref="G1:I1"/>
    <mergeCell ref="J1:K1"/>
    <mergeCell ref="A1:A2"/>
    <mergeCell ref="A91:A110"/>
    <mergeCell ref="A23:A24"/>
    <mergeCell ref="B67:D67"/>
    <mergeCell ref="E67:F67"/>
    <mergeCell ref="J67:K67"/>
    <mergeCell ref="A45:A46"/>
    <mergeCell ref="A47:A65"/>
    <mergeCell ref="A67:A68"/>
    <mergeCell ref="J23:K23"/>
    <mergeCell ref="J45:K45"/>
    <mergeCell ref="G67:I67"/>
    <mergeCell ref="G45:I45"/>
    <mergeCell ref="B45:D45"/>
    <mergeCell ref="E45:F45"/>
    <mergeCell ref="A69:A87"/>
    <mergeCell ref="A89:A90"/>
    <mergeCell ref="J111:K111"/>
    <mergeCell ref="B89:D89"/>
    <mergeCell ref="E89:F89"/>
    <mergeCell ref="G89:I89"/>
    <mergeCell ref="J89:K89"/>
    <mergeCell ref="A113:A131"/>
    <mergeCell ref="A111:A112"/>
    <mergeCell ref="B111:D111"/>
    <mergeCell ref="E111:F111"/>
    <mergeCell ref="G111:I1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AA7D-1E1B-4673-A324-98DB0599DBB6}">
  <dimension ref="A1:N132"/>
  <sheetViews>
    <sheetView workbookViewId="0">
      <selection activeCell="N21" sqref="N21"/>
    </sheetView>
  </sheetViews>
  <sheetFormatPr defaultRowHeight="14.4" x14ac:dyDescent="0.3"/>
  <cols>
    <col min="1" max="1" width="12.88671875" customWidth="1"/>
    <col min="2" max="2" width="13.6640625" customWidth="1"/>
    <col min="3" max="3" width="11.5546875" customWidth="1"/>
    <col min="4" max="4" width="8" bestFit="1" customWidth="1"/>
    <col min="5" max="6" width="6.5546875" bestFit="1" customWidth="1"/>
    <col min="7" max="7" width="16.88671875" customWidth="1"/>
    <col min="8" max="8" width="12.44140625" customWidth="1"/>
    <col min="9" max="9" width="19.88671875" customWidth="1"/>
    <col min="10" max="10" width="13.109375" customWidth="1"/>
    <col min="11" max="11" width="16.109375" customWidth="1"/>
  </cols>
  <sheetData>
    <row r="1" spans="1:11" x14ac:dyDescent="0.3">
      <c r="A1" s="77" t="s">
        <v>30</v>
      </c>
      <c r="B1" s="77" t="s">
        <v>29</v>
      </c>
      <c r="C1" s="77"/>
      <c r="D1" s="77"/>
      <c r="E1" s="106" t="s">
        <v>36</v>
      </c>
      <c r="F1" s="106"/>
      <c r="G1" s="106" t="s">
        <v>29</v>
      </c>
      <c r="H1" s="106"/>
      <c r="I1" s="106"/>
      <c r="J1" s="77" t="s">
        <v>36</v>
      </c>
      <c r="K1" s="77"/>
    </row>
    <row r="2" spans="1:11" x14ac:dyDescent="0.3">
      <c r="A2" s="77"/>
      <c r="B2" t="s">
        <v>28</v>
      </c>
      <c r="C2" t="s">
        <v>27</v>
      </c>
      <c r="D2" t="s">
        <v>8</v>
      </c>
      <c r="E2" t="s">
        <v>31</v>
      </c>
      <c r="F2" t="s">
        <v>8</v>
      </c>
      <c r="G2" t="s">
        <v>28</v>
      </c>
      <c r="H2" t="s">
        <v>27</v>
      </c>
      <c r="I2" t="s">
        <v>8</v>
      </c>
      <c r="J2" t="s">
        <v>31</v>
      </c>
      <c r="K2" t="s">
        <v>8</v>
      </c>
    </row>
    <row r="3" spans="1:11" x14ac:dyDescent="0.3">
      <c r="A3" s="90" t="s">
        <v>35</v>
      </c>
      <c r="B3">
        <v>0.01</v>
      </c>
      <c r="C3">
        <v>5.7600000000000004E-3</v>
      </c>
      <c r="D3">
        <v>5.1599999999999997E-3</v>
      </c>
      <c r="E3">
        <v>1.4E-2</v>
      </c>
      <c r="F3">
        <v>5.0000000000000001E-3</v>
      </c>
      <c r="G3">
        <f>B3*1000</f>
        <v>10</v>
      </c>
      <c r="H3">
        <f>C3*1000</f>
        <v>5.7600000000000007</v>
      </c>
      <c r="I3">
        <f>D3*1000</f>
        <v>5.1599999999999993</v>
      </c>
      <c r="J3" s="25">
        <f>E3*1000</f>
        <v>14</v>
      </c>
      <c r="K3" s="25">
        <f>F3*1000</f>
        <v>5</v>
      </c>
    </row>
    <row r="4" spans="1:11" x14ac:dyDescent="0.3">
      <c r="A4" s="90"/>
      <c r="B4">
        <v>1.0999999999999999E-2</v>
      </c>
      <c r="C4">
        <v>5.6499999999999996E-3</v>
      </c>
      <c r="D4">
        <v>5.1999999999999998E-3</v>
      </c>
      <c r="E4">
        <v>1.2999999999999999E-2</v>
      </c>
      <c r="F4">
        <v>5.0000000000000001E-3</v>
      </c>
      <c r="G4">
        <f t="shared" ref="G4:G21" si="0">B4*1000</f>
        <v>11</v>
      </c>
      <c r="H4">
        <f t="shared" ref="H4:H21" si="1">C4*1000</f>
        <v>5.6499999999999995</v>
      </c>
      <c r="I4">
        <f t="shared" ref="I4:I21" si="2">D4*1000</f>
        <v>5.2</v>
      </c>
      <c r="J4" s="25">
        <f t="shared" ref="J4:J21" si="3">E4*1000</f>
        <v>13</v>
      </c>
      <c r="K4" s="25">
        <f t="shared" ref="K4:K21" si="4">F4*1000</f>
        <v>5</v>
      </c>
    </row>
    <row r="5" spans="1:11" x14ac:dyDescent="0.3">
      <c r="A5" s="90"/>
      <c r="B5">
        <v>1.2E-2</v>
      </c>
      <c r="C5">
        <v>5.5300000000000002E-3</v>
      </c>
      <c r="D5">
        <v>5.2199999999999998E-3</v>
      </c>
      <c r="E5">
        <v>1.2E-2</v>
      </c>
      <c r="F5">
        <v>5.0000000000000001E-3</v>
      </c>
      <c r="G5">
        <f t="shared" si="0"/>
        <v>12</v>
      </c>
      <c r="H5">
        <f t="shared" si="1"/>
        <v>5.53</v>
      </c>
      <c r="I5">
        <f t="shared" si="2"/>
        <v>5.22</v>
      </c>
      <c r="J5" s="25">
        <f t="shared" si="3"/>
        <v>12</v>
      </c>
      <c r="K5" s="25">
        <f t="shared" si="4"/>
        <v>5</v>
      </c>
    </row>
    <row r="6" spans="1:11" x14ac:dyDescent="0.3">
      <c r="A6" s="90"/>
      <c r="B6">
        <v>1.2999999999999999E-2</v>
      </c>
      <c r="C6">
        <v>5.4299999999999999E-3</v>
      </c>
      <c r="D6">
        <v>5.2599999999999999E-3</v>
      </c>
      <c r="E6">
        <v>1.2E-2</v>
      </c>
      <c r="F6">
        <v>6.0000000000000001E-3</v>
      </c>
      <c r="G6">
        <f t="shared" si="0"/>
        <v>13</v>
      </c>
      <c r="H6">
        <f t="shared" si="1"/>
        <v>5.43</v>
      </c>
      <c r="I6">
        <f t="shared" si="2"/>
        <v>5.26</v>
      </c>
      <c r="J6" s="25">
        <f t="shared" si="3"/>
        <v>12</v>
      </c>
      <c r="K6" s="25">
        <f t="shared" si="4"/>
        <v>6</v>
      </c>
    </row>
    <row r="7" spans="1:11" x14ac:dyDescent="0.3">
      <c r="A7" s="90"/>
      <c r="B7">
        <v>1.4E-2</v>
      </c>
      <c r="C7">
        <v>5.3400000000000001E-3</v>
      </c>
      <c r="D7">
        <v>5.2900000000000004E-3</v>
      </c>
      <c r="E7">
        <v>0.01</v>
      </c>
      <c r="F7">
        <v>5.0000000000000001E-3</v>
      </c>
      <c r="G7">
        <f t="shared" si="0"/>
        <v>14</v>
      </c>
      <c r="H7">
        <f t="shared" si="1"/>
        <v>5.34</v>
      </c>
      <c r="I7">
        <f t="shared" si="2"/>
        <v>5.29</v>
      </c>
      <c r="J7" s="25">
        <f t="shared" si="3"/>
        <v>10</v>
      </c>
      <c r="K7" s="25">
        <f t="shared" si="4"/>
        <v>5</v>
      </c>
    </row>
    <row r="8" spans="1:11" x14ac:dyDescent="0.3">
      <c r="A8" s="90"/>
      <c r="B8">
        <v>1.4999999999999999E-2</v>
      </c>
      <c r="C8">
        <v>5.2300000000000003E-3</v>
      </c>
      <c r="D8">
        <v>5.3099999999999996E-3</v>
      </c>
      <c r="E8">
        <v>8.9999999999999993E-3</v>
      </c>
      <c r="F8">
        <v>5.0000000000000001E-3</v>
      </c>
      <c r="G8">
        <f t="shared" si="0"/>
        <v>15</v>
      </c>
      <c r="H8">
        <f t="shared" si="1"/>
        <v>5.23</v>
      </c>
      <c r="I8">
        <f t="shared" si="2"/>
        <v>5.31</v>
      </c>
      <c r="J8" s="25">
        <f t="shared" si="3"/>
        <v>9</v>
      </c>
      <c r="K8" s="25">
        <f t="shared" si="4"/>
        <v>5</v>
      </c>
    </row>
    <row r="9" spans="1:11" x14ac:dyDescent="0.3">
      <c r="A9" s="90"/>
      <c r="B9">
        <v>1.6E-2</v>
      </c>
      <c r="C9">
        <v>5.1399999999999996E-3</v>
      </c>
      <c r="D9">
        <v>5.3E-3</v>
      </c>
      <c r="E9">
        <v>0.01</v>
      </c>
      <c r="F9">
        <v>6.0000000000000001E-3</v>
      </c>
      <c r="G9">
        <f t="shared" si="0"/>
        <v>16</v>
      </c>
      <c r="H9">
        <f t="shared" si="1"/>
        <v>5.14</v>
      </c>
      <c r="I9">
        <f t="shared" si="2"/>
        <v>5.3</v>
      </c>
      <c r="J9" s="25">
        <f t="shared" si="3"/>
        <v>10</v>
      </c>
      <c r="K9" s="25">
        <f t="shared" si="4"/>
        <v>6</v>
      </c>
    </row>
    <row r="10" spans="1:11" x14ac:dyDescent="0.3">
      <c r="A10" s="90"/>
      <c r="B10">
        <v>1.7000000000000001E-2</v>
      </c>
      <c r="C10">
        <v>5.0699999999999999E-3</v>
      </c>
      <c r="D10">
        <v>5.3200000000000001E-3</v>
      </c>
      <c r="E10">
        <v>7.0000000000000001E-3</v>
      </c>
      <c r="F10">
        <v>4.0000000000000001E-3</v>
      </c>
      <c r="G10">
        <f t="shared" si="0"/>
        <v>17</v>
      </c>
      <c r="H10">
        <f t="shared" si="1"/>
        <v>5.07</v>
      </c>
      <c r="I10">
        <f t="shared" si="2"/>
        <v>5.32</v>
      </c>
      <c r="J10" s="25">
        <f t="shared" si="3"/>
        <v>7</v>
      </c>
      <c r="K10" s="25">
        <f t="shared" si="4"/>
        <v>4</v>
      </c>
    </row>
    <row r="11" spans="1:11" x14ac:dyDescent="0.3">
      <c r="A11" s="90"/>
      <c r="B11">
        <v>1.7999999999999999E-2</v>
      </c>
      <c r="C11">
        <v>4.7999999999999996E-3</v>
      </c>
      <c r="D11">
        <v>5.0200000000000002E-3</v>
      </c>
      <c r="E11">
        <v>7.0000000000000001E-3</v>
      </c>
      <c r="F11">
        <v>6.0000000000000001E-3</v>
      </c>
      <c r="G11">
        <f t="shared" si="0"/>
        <v>18</v>
      </c>
      <c r="H11">
        <f t="shared" si="1"/>
        <v>4.8</v>
      </c>
      <c r="I11">
        <f t="shared" si="2"/>
        <v>5.0200000000000005</v>
      </c>
      <c r="J11" s="25">
        <f t="shared" si="3"/>
        <v>7</v>
      </c>
      <c r="K11" s="25">
        <f t="shared" si="4"/>
        <v>6</v>
      </c>
    </row>
    <row r="12" spans="1:11" x14ac:dyDescent="0.3">
      <c r="A12" s="90"/>
      <c r="B12">
        <v>1.9E-2</v>
      </c>
      <c r="C12">
        <v>4.7499999999999999E-3</v>
      </c>
      <c r="D12">
        <v>5.0400000000000002E-3</v>
      </c>
      <c r="E12">
        <v>8.0000000000000002E-3</v>
      </c>
      <c r="F12">
        <v>8.0000000000000002E-3</v>
      </c>
      <c r="G12">
        <f t="shared" si="0"/>
        <v>19</v>
      </c>
      <c r="H12">
        <f t="shared" si="1"/>
        <v>4.75</v>
      </c>
      <c r="I12">
        <f t="shared" si="2"/>
        <v>5.04</v>
      </c>
      <c r="J12" s="25">
        <f t="shared" si="3"/>
        <v>8</v>
      </c>
      <c r="K12" s="25">
        <f t="shared" si="4"/>
        <v>8</v>
      </c>
    </row>
    <row r="13" spans="1:11" x14ac:dyDescent="0.3">
      <c r="A13" s="90"/>
      <c r="B13">
        <v>0.02</v>
      </c>
      <c r="C13">
        <v>4.7000000000000002E-3</v>
      </c>
      <c r="D13">
        <v>5.0499999999999998E-3</v>
      </c>
      <c r="E13">
        <v>6.0000000000000001E-3</v>
      </c>
      <c r="F13">
        <v>5.0000000000000001E-3</v>
      </c>
      <c r="G13">
        <f t="shared" si="0"/>
        <v>20</v>
      </c>
      <c r="H13">
        <f t="shared" si="1"/>
        <v>4.7</v>
      </c>
      <c r="I13">
        <f t="shared" si="2"/>
        <v>5.05</v>
      </c>
      <c r="J13" s="25">
        <f t="shared" si="3"/>
        <v>6</v>
      </c>
      <c r="K13" s="25">
        <f t="shared" si="4"/>
        <v>5</v>
      </c>
    </row>
    <row r="14" spans="1:11" x14ac:dyDescent="0.3">
      <c r="A14" s="90"/>
      <c r="B14">
        <v>2.1000000000000001E-2</v>
      </c>
      <c r="C14">
        <v>4.6699999999999997E-3</v>
      </c>
      <c r="D14">
        <v>5.0600000000000003E-3</v>
      </c>
      <c r="E14">
        <v>7.0000000000000001E-3</v>
      </c>
      <c r="F14">
        <v>8.0000000000000002E-3</v>
      </c>
      <c r="G14">
        <f t="shared" si="0"/>
        <v>21</v>
      </c>
      <c r="H14">
        <f t="shared" si="1"/>
        <v>4.67</v>
      </c>
      <c r="I14">
        <f t="shared" si="2"/>
        <v>5.0600000000000005</v>
      </c>
      <c r="J14" s="25">
        <f t="shared" si="3"/>
        <v>7</v>
      </c>
      <c r="K14" s="25">
        <f t="shared" si="4"/>
        <v>8</v>
      </c>
    </row>
    <row r="15" spans="1:11" x14ac:dyDescent="0.3">
      <c r="A15" s="90"/>
      <c r="B15">
        <v>2.1999999999999999E-2</v>
      </c>
      <c r="C15">
        <v>4.6499999999999996E-3</v>
      </c>
      <c r="D15">
        <v>5.0600000000000003E-3</v>
      </c>
      <c r="E15">
        <v>5.0000000000000001E-3</v>
      </c>
      <c r="F15">
        <v>5.0000000000000001E-3</v>
      </c>
      <c r="G15">
        <f t="shared" si="0"/>
        <v>22</v>
      </c>
      <c r="H15">
        <f t="shared" si="1"/>
        <v>4.6499999999999995</v>
      </c>
      <c r="I15">
        <f t="shared" si="2"/>
        <v>5.0600000000000005</v>
      </c>
      <c r="J15" s="25">
        <f t="shared" si="3"/>
        <v>5</v>
      </c>
      <c r="K15" s="25">
        <f t="shared" si="4"/>
        <v>5</v>
      </c>
    </row>
    <row r="16" spans="1:11" x14ac:dyDescent="0.3">
      <c r="A16" s="90"/>
      <c r="B16">
        <v>2.3E-2</v>
      </c>
      <c r="C16">
        <v>4.64E-3</v>
      </c>
      <c r="D16">
        <v>5.0600000000000003E-3</v>
      </c>
      <c r="E16">
        <v>4.0000000000000001E-3</v>
      </c>
      <c r="F16">
        <v>3.0000000000000001E-3</v>
      </c>
      <c r="G16">
        <f t="shared" si="0"/>
        <v>23</v>
      </c>
      <c r="H16">
        <f t="shared" si="1"/>
        <v>4.6399999999999997</v>
      </c>
      <c r="I16">
        <f t="shared" si="2"/>
        <v>5.0600000000000005</v>
      </c>
      <c r="J16" s="25">
        <f t="shared" si="3"/>
        <v>4</v>
      </c>
      <c r="K16" s="25">
        <f t="shared" si="4"/>
        <v>3</v>
      </c>
    </row>
    <row r="17" spans="1:11" x14ac:dyDescent="0.3">
      <c r="A17" s="90"/>
      <c r="B17">
        <v>2.4E-2</v>
      </c>
      <c r="C17">
        <v>4.64E-3</v>
      </c>
      <c r="D17">
        <v>5.0499999999999998E-3</v>
      </c>
      <c r="E17">
        <v>4.0000000000000001E-3</v>
      </c>
      <c r="F17">
        <v>2E-3</v>
      </c>
      <c r="G17">
        <f t="shared" si="0"/>
        <v>24</v>
      </c>
      <c r="H17">
        <f t="shared" si="1"/>
        <v>4.6399999999999997</v>
      </c>
      <c r="I17">
        <f t="shared" si="2"/>
        <v>5.05</v>
      </c>
      <c r="J17" s="25">
        <f t="shared" si="3"/>
        <v>4</v>
      </c>
      <c r="K17" s="25">
        <f t="shared" si="4"/>
        <v>2</v>
      </c>
    </row>
    <row r="18" spans="1:11" x14ac:dyDescent="0.3">
      <c r="A18" s="90"/>
      <c r="B18">
        <v>2.5000000000000001E-2</v>
      </c>
      <c r="C18">
        <v>4.6299999999999996E-3</v>
      </c>
      <c r="D18">
        <v>4.96E-3</v>
      </c>
      <c r="E18">
        <v>4.0000000000000001E-3</v>
      </c>
      <c r="F18">
        <v>3.0000000000000001E-3</v>
      </c>
      <c r="G18">
        <f t="shared" si="0"/>
        <v>25</v>
      </c>
      <c r="H18">
        <f t="shared" si="1"/>
        <v>4.63</v>
      </c>
      <c r="I18">
        <f t="shared" si="2"/>
        <v>4.96</v>
      </c>
      <c r="J18" s="25">
        <f t="shared" si="3"/>
        <v>4</v>
      </c>
      <c r="K18" s="25">
        <f t="shared" si="4"/>
        <v>3</v>
      </c>
    </row>
    <row r="19" spans="1:11" x14ac:dyDescent="0.3">
      <c r="A19" s="90"/>
      <c r="B19">
        <v>2.5999999999999999E-2</v>
      </c>
      <c r="C19">
        <v>4.62E-3</v>
      </c>
      <c r="D19">
        <v>4.8399999999999997E-3</v>
      </c>
      <c r="E19">
        <v>5.0000000000000001E-3</v>
      </c>
      <c r="F19">
        <v>3.0000000000000001E-3</v>
      </c>
      <c r="G19">
        <f t="shared" si="0"/>
        <v>26</v>
      </c>
      <c r="H19">
        <f t="shared" si="1"/>
        <v>4.62</v>
      </c>
      <c r="I19">
        <f t="shared" si="2"/>
        <v>4.84</v>
      </c>
      <c r="J19" s="25">
        <f t="shared" si="3"/>
        <v>5</v>
      </c>
      <c r="K19" s="25">
        <f t="shared" si="4"/>
        <v>3</v>
      </c>
    </row>
    <row r="20" spans="1:11" x14ac:dyDescent="0.3">
      <c r="A20" s="90"/>
      <c r="B20">
        <v>2.7E-2</v>
      </c>
      <c r="C20">
        <v>4.6499999999999996E-3</v>
      </c>
      <c r="D20">
        <v>4.8199999999999996E-3</v>
      </c>
      <c r="E20">
        <v>4.0000000000000001E-3</v>
      </c>
      <c r="F20">
        <v>1E-3</v>
      </c>
      <c r="G20">
        <f t="shared" si="0"/>
        <v>27</v>
      </c>
      <c r="H20">
        <f t="shared" si="1"/>
        <v>4.6499999999999995</v>
      </c>
      <c r="I20">
        <f t="shared" si="2"/>
        <v>4.8199999999999994</v>
      </c>
      <c r="J20" s="25">
        <f t="shared" si="3"/>
        <v>4</v>
      </c>
      <c r="K20" s="25">
        <f t="shared" si="4"/>
        <v>1</v>
      </c>
    </row>
    <row r="21" spans="1:11" x14ac:dyDescent="0.3">
      <c r="A21" s="90"/>
      <c r="B21">
        <v>2.8000000000000001E-2</v>
      </c>
      <c r="C21">
        <v>4.6800000000000001E-3</v>
      </c>
      <c r="D21">
        <v>4.7999999999999996E-3</v>
      </c>
      <c r="E21">
        <v>5.0000000000000001E-3</v>
      </c>
      <c r="F21">
        <v>2E-3</v>
      </c>
      <c r="G21">
        <f t="shared" si="0"/>
        <v>28</v>
      </c>
      <c r="H21">
        <f t="shared" si="1"/>
        <v>4.68</v>
      </c>
      <c r="I21">
        <f t="shared" si="2"/>
        <v>4.8</v>
      </c>
      <c r="J21" s="25">
        <f t="shared" si="3"/>
        <v>5</v>
      </c>
      <c r="K21" s="25">
        <f t="shared" si="4"/>
        <v>2</v>
      </c>
    </row>
    <row r="22" spans="1:11" x14ac:dyDescent="0.3">
      <c r="A22" s="90"/>
      <c r="B22">
        <v>2.9000000000000001E-2</v>
      </c>
      <c r="C22">
        <v>4.6899999999999997E-3</v>
      </c>
      <c r="D22">
        <v>4.8199999999999996E-3</v>
      </c>
      <c r="E22">
        <v>6.0000000000000001E-3</v>
      </c>
      <c r="F22">
        <v>2E-3</v>
      </c>
      <c r="G22">
        <f t="shared" ref="G22" si="5">B22*1000</f>
        <v>29</v>
      </c>
      <c r="H22">
        <f t="shared" ref="H22" si="6">C22*1000</f>
        <v>4.6899999999999995</v>
      </c>
      <c r="I22">
        <f t="shared" ref="I22" si="7">D22*1000</f>
        <v>4.8199999999999994</v>
      </c>
      <c r="J22" s="25">
        <f t="shared" ref="J22" si="8">E22*1000</f>
        <v>6</v>
      </c>
      <c r="K22" s="25">
        <f t="shared" ref="K22" si="9">F22*1000</f>
        <v>2</v>
      </c>
    </row>
    <row r="23" spans="1:11" x14ac:dyDescent="0.3">
      <c r="A23" s="90" t="s">
        <v>30</v>
      </c>
      <c r="B23" s="77" t="s">
        <v>29</v>
      </c>
      <c r="C23" s="77"/>
      <c r="D23" s="77"/>
      <c r="E23" s="77" t="s">
        <v>36</v>
      </c>
      <c r="F23" s="77"/>
      <c r="G23" s="77" t="s">
        <v>29</v>
      </c>
      <c r="H23" s="77"/>
      <c r="I23" s="77"/>
      <c r="J23" s="77" t="s">
        <v>36</v>
      </c>
      <c r="K23" s="77"/>
    </row>
    <row r="24" spans="1:11" x14ac:dyDescent="0.3">
      <c r="A24" s="90"/>
      <c r="B24" t="s">
        <v>28</v>
      </c>
      <c r="C24" t="s">
        <v>27</v>
      </c>
      <c r="D24" t="s">
        <v>8</v>
      </c>
      <c r="E24" t="s">
        <v>31</v>
      </c>
      <c r="F24" t="s">
        <v>8</v>
      </c>
      <c r="G24" t="s">
        <v>28</v>
      </c>
      <c r="H24" t="s">
        <v>27</v>
      </c>
      <c r="I24" t="s">
        <v>8</v>
      </c>
      <c r="J24" t="s">
        <v>31</v>
      </c>
      <c r="K24" t="s">
        <v>8</v>
      </c>
    </row>
    <row r="25" spans="1:11" x14ac:dyDescent="0.3">
      <c r="A25" s="90" t="s">
        <v>34</v>
      </c>
      <c r="B25">
        <v>0.01</v>
      </c>
      <c r="C25">
        <v>5.8599999999999998E-3</v>
      </c>
      <c r="D25">
        <v>5.0299999999999997E-3</v>
      </c>
      <c r="E25">
        <v>1.2999999999999999E-2</v>
      </c>
      <c r="F25">
        <v>4.0000000000000001E-3</v>
      </c>
      <c r="G25">
        <f>B25*1000</f>
        <v>10</v>
      </c>
      <c r="H25">
        <f>C25*1000</f>
        <v>5.8599999999999994</v>
      </c>
      <c r="I25">
        <f>D25*1000</f>
        <v>5.0299999999999994</v>
      </c>
      <c r="J25" s="25">
        <f>E25*1000</f>
        <v>13</v>
      </c>
      <c r="K25" s="25">
        <f>F25*1000</f>
        <v>4</v>
      </c>
    </row>
    <row r="26" spans="1:11" x14ac:dyDescent="0.3">
      <c r="A26" s="90"/>
      <c r="B26">
        <v>1.0999999999999999E-2</v>
      </c>
      <c r="C26">
        <v>5.7200000000000003E-3</v>
      </c>
      <c r="D26">
        <v>5.0400000000000002E-3</v>
      </c>
      <c r="E26">
        <v>1.2E-2</v>
      </c>
      <c r="F26">
        <v>4.0000000000000001E-3</v>
      </c>
      <c r="G26">
        <f t="shared" ref="G26:K44" si="10">B26*1000</f>
        <v>11</v>
      </c>
      <c r="H26">
        <f t="shared" si="10"/>
        <v>5.7200000000000006</v>
      </c>
      <c r="I26">
        <f t="shared" si="10"/>
        <v>5.04</v>
      </c>
      <c r="J26" s="25">
        <f t="shared" si="10"/>
        <v>12</v>
      </c>
      <c r="K26" s="25">
        <f t="shared" si="10"/>
        <v>4</v>
      </c>
    </row>
    <row r="27" spans="1:11" x14ac:dyDescent="0.3">
      <c r="A27" s="90"/>
      <c r="B27">
        <v>1.2E-2</v>
      </c>
      <c r="C27">
        <v>5.5900000000000004E-3</v>
      </c>
      <c r="D27">
        <v>5.0400000000000002E-3</v>
      </c>
      <c r="E27">
        <v>1.0999999999999999E-2</v>
      </c>
      <c r="F27">
        <v>4.0000000000000001E-3</v>
      </c>
      <c r="G27">
        <f t="shared" si="10"/>
        <v>12</v>
      </c>
      <c r="H27" s="20">
        <f t="shared" si="10"/>
        <v>5.5900000000000007</v>
      </c>
      <c r="I27">
        <f t="shared" si="10"/>
        <v>5.04</v>
      </c>
      <c r="J27" s="25">
        <f t="shared" si="10"/>
        <v>11</v>
      </c>
      <c r="K27" s="25">
        <f t="shared" si="10"/>
        <v>4</v>
      </c>
    </row>
    <row r="28" spans="1:11" x14ac:dyDescent="0.3">
      <c r="A28" s="90"/>
      <c r="B28">
        <v>1.2999999999999999E-2</v>
      </c>
      <c r="C28">
        <v>5.4200000000000003E-3</v>
      </c>
      <c r="D28">
        <v>4.96E-3</v>
      </c>
      <c r="E28">
        <v>1.0999999999999999E-2</v>
      </c>
      <c r="F28">
        <v>4.0000000000000001E-3</v>
      </c>
      <c r="G28">
        <f t="shared" si="10"/>
        <v>13</v>
      </c>
      <c r="H28" s="20">
        <f t="shared" si="10"/>
        <v>5.42</v>
      </c>
      <c r="I28">
        <f t="shared" si="10"/>
        <v>4.96</v>
      </c>
      <c r="J28" s="25">
        <f t="shared" si="10"/>
        <v>11</v>
      </c>
      <c r="K28" s="25">
        <f t="shared" si="10"/>
        <v>4</v>
      </c>
    </row>
    <row r="29" spans="1:11" x14ac:dyDescent="0.3">
      <c r="A29" s="90"/>
      <c r="B29">
        <v>1.4E-2</v>
      </c>
      <c r="C29">
        <v>5.3099999999999996E-3</v>
      </c>
      <c r="D29">
        <v>5.0000000000000001E-3</v>
      </c>
      <c r="E29">
        <v>0.01</v>
      </c>
      <c r="F29">
        <v>3.0000000000000001E-3</v>
      </c>
      <c r="G29">
        <f t="shared" si="10"/>
        <v>14</v>
      </c>
      <c r="H29" s="20">
        <f t="shared" si="10"/>
        <v>5.31</v>
      </c>
      <c r="I29">
        <f t="shared" si="10"/>
        <v>5</v>
      </c>
      <c r="J29" s="25">
        <f t="shared" si="10"/>
        <v>10</v>
      </c>
      <c r="K29" s="25">
        <f t="shared" si="10"/>
        <v>3</v>
      </c>
    </row>
    <row r="30" spans="1:11" x14ac:dyDescent="0.3">
      <c r="A30" s="90"/>
      <c r="B30">
        <v>1.4999999999999999E-2</v>
      </c>
      <c r="C30">
        <v>5.2100000000000002E-3</v>
      </c>
      <c r="D30">
        <v>5.0299999999999997E-3</v>
      </c>
      <c r="E30">
        <v>8.9999999999999993E-3</v>
      </c>
      <c r="F30">
        <v>3.0000000000000001E-3</v>
      </c>
      <c r="G30">
        <f t="shared" si="10"/>
        <v>15</v>
      </c>
      <c r="H30" s="20">
        <f t="shared" si="10"/>
        <v>5.21</v>
      </c>
      <c r="I30">
        <f t="shared" si="10"/>
        <v>5.0299999999999994</v>
      </c>
      <c r="J30" s="25">
        <f t="shared" si="10"/>
        <v>9</v>
      </c>
      <c r="K30" s="25">
        <f t="shared" si="10"/>
        <v>3</v>
      </c>
    </row>
    <row r="31" spans="1:11" x14ac:dyDescent="0.3">
      <c r="A31" s="90"/>
      <c r="B31">
        <v>1.6E-2</v>
      </c>
      <c r="C31">
        <v>5.11E-3</v>
      </c>
      <c r="D31">
        <v>5.0699999999999999E-3</v>
      </c>
      <c r="E31">
        <v>8.0000000000000002E-3</v>
      </c>
      <c r="F31">
        <v>3.0000000000000001E-3</v>
      </c>
      <c r="G31">
        <f t="shared" si="10"/>
        <v>16</v>
      </c>
      <c r="H31" s="20">
        <f t="shared" si="10"/>
        <v>5.1100000000000003</v>
      </c>
      <c r="I31">
        <f t="shared" si="10"/>
        <v>5.07</v>
      </c>
      <c r="J31" s="25">
        <f t="shared" si="10"/>
        <v>8</v>
      </c>
      <c r="K31" s="25">
        <f t="shared" si="10"/>
        <v>3</v>
      </c>
    </row>
    <row r="32" spans="1:11" x14ac:dyDescent="0.3">
      <c r="A32" s="90"/>
      <c r="B32">
        <v>1.7000000000000001E-2</v>
      </c>
      <c r="C32">
        <v>5.0000000000000001E-3</v>
      </c>
      <c r="D32">
        <v>5.0800000000000003E-3</v>
      </c>
      <c r="E32">
        <v>8.0000000000000002E-3</v>
      </c>
      <c r="F32">
        <v>3.0000000000000001E-3</v>
      </c>
      <c r="G32">
        <f t="shared" si="10"/>
        <v>17</v>
      </c>
      <c r="H32" s="20">
        <f t="shared" si="10"/>
        <v>5</v>
      </c>
      <c r="I32">
        <f t="shared" si="10"/>
        <v>5.08</v>
      </c>
      <c r="J32" s="25">
        <f t="shared" si="10"/>
        <v>8</v>
      </c>
      <c r="K32" s="25">
        <f t="shared" si="10"/>
        <v>3</v>
      </c>
    </row>
    <row r="33" spans="1:11" x14ac:dyDescent="0.3">
      <c r="A33" s="90"/>
      <c r="B33">
        <v>1.7999999999999999E-2</v>
      </c>
      <c r="C33">
        <v>4.9199999999999999E-3</v>
      </c>
      <c r="D33">
        <v>5.11E-3</v>
      </c>
      <c r="E33">
        <v>7.0000000000000001E-3</v>
      </c>
      <c r="F33">
        <v>3.0000000000000001E-3</v>
      </c>
      <c r="G33">
        <f t="shared" si="10"/>
        <v>18</v>
      </c>
      <c r="H33" s="20">
        <f t="shared" si="10"/>
        <v>4.92</v>
      </c>
      <c r="I33">
        <f t="shared" si="10"/>
        <v>5.1100000000000003</v>
      </c>
      <c r="J33" s="25">
        <f t="shared" si="10"/>
        <v>7</v>
      </c>
      <c r="K33" s="25">
        <f t="shared" si="10"/>
        <v>3</v>
      </c>
    </row>
    <row r="34" spans="1:11" x14ac:dyDescent="0.3">
      <c r="A34" s="90"/>
      <c r="B34">
        <v>1.9E-2</v>
      </c>
      <c r="C34">
        <v>4.8399999999999997E-3</v>
      </c>
      <c r="D34">
        <v>5.1399999999999996E-3</v>
      </c>
      <c r="E34">
        <v>6.0000000000000001E-3</v>
      </c>
      <c r="F34">
        <v>3.0000000000000001E-3</v>
      </c>
      <c r="G34">
        <f t="shared" si="10"/>
        <v>19</v>
      </c>
      <c r="H34" s="20">
        <f t="shared" si="10"/>
        <v>4.84</v>
      </c>
      <c r="I34">
        <f t="shared" si="10"/>
        <v>5.14</v>
      </c>
      <c r="J34" s="25">
        <f t="shared" si="10"/>
        <v>6</v>
      </c>
      <c r="K34" s="25">
        <f t="shared" si="10"/>
        <v>3</v>
      </c>
    </row>
    <row r="35" spans="1:11" x14ac:dyDescent="0.3">
      <c r="A35" s="90"/>
      <c r="B35">
        <v>0.02</v>
      </c>
      <c r="C35">
        <v>4.7699999999999999E-3</v>
      </c>
      <c r="D35">
        <v>5.1599999999999997E-3</v>
      </c>
      <c r="E35">
        <v>5.0000000000000001E-3</v>
      </c>
      <c r="F35">
        <v>3.0000000000000001E-3</v>
      </c>
      <c r="G35">
        <f t="shared" si="10"/>
        <v>20</v>
      </c>
      <c r="H35" s="20">
        <f t="shared" si="10"/>
        <v>4.7699999999999996</v>
      </c>
      <c r="I35">
        <f t="shared" si="10"/>
        <v>5.1599999999999993</v>
      </c>
      <c r="J35" s="25">
        <f t="shared" si="10"/>
        <v>5</v>
      </c>
      <c r="K35" s="25">
        <f t="shared" si="10"/>
        <v>3</v>
      </c>
    </row>
    <row r="36" spans="1:11" x14ac:dyDescent="0.3">
      <c r="A36" s="90"/>
      <c r="B36">
        <v>2.1000000000000001E-2</v>
      </c>
      <c r="C36">
        <v>4.6800000000000001E-3</v>
      </c>
      <c r="D36">
        <v>5.1200000000000004E-3</v>
      </c>
      <c r="E36">
        <v>5.0000000000000001E-3</v>
      </c>
      <c r="F36">
        <v>3.0000000000000001E-3</v>
      </c>
      <c r="G36">
        <f t="shared" si="10"/>
        <v>21</v>
      </c>
      <c r="H36" s="20">
        <f t="shared" si="10"/>
        <v>4.68</v>
      </c>
      <c r="I36">
        <f t="shared" si="10"/>
        <v>5.12</v>
      </c>
      <c r="J36" s="25">
        <f t="shared" si="10"/>
        <v>5</v>
      </c>
      <c r="K36" s="25">
        <f t="shared" si="10"/>
        <v>3</v>
      </c>
    </row>
    <row r="37" spans="1:11" x14ac:dyDescent="0.3">
      <c r="A37" s="90"/>
      <c r="B37">
        <v>2.1999999999999999E-2</v>
      </c>
      <c r="C37">
        <v>4.5599999999999998E-3</v>
      </c>
      <c r="D37">
        <v>5.0099999999999997E-3</v>
      </c>
      <c r="E37">
        <v>4.0000000000000001E-3</v>
      </c>
      <c r="F37">
        <v>2E-3</v>
      </c>
      <c r="G37">
        <f t="shared" si="10"/>
        <v>22</v>
      </c>
      <c r="H37" s="20">
        <f t="shared" si="10"/>
        <v>4.5599999999999996</v>
      </c>
      <c r="I37">
        <f t="shared" si="10"/>
        <v>5.01</v>
      </c>
      <c r="J37" s="25">
        <f t="shared" si="10"/>
        <v>4</v>
      </c>
      <c r="K37" s="25">
        <f t="shared" si="10"/>
        <v>2</v>
      </c>
    </row>
    <row r="38" spans="1:11" x14ac:dyDescent="0.3">
      <c r="A38" s="90"/>
      <c r="B38">
        <v>2.3E-2</v>
      </c>
      <c r="C38">
        <v>4.5300000000000002E-3</v>
      </c>
      <c r="D38">
        <v>5.0200000000000002E-3</v>
      </c>
      <c r="E38">
        <v>4.0000000000000001E-3</v>
      </c>
      <c r="F38">
        <v>2E-3</v>
      </c>
      <c r="G38">
        <f t="shared" si="10"/>
        <v>23</v>
      </c>
      <c r="H38" s="20">
        <f t="shared" si="10"/>
        <v>4.53</v>
      </c>
      <c r="I38">
        <f t="shared" si="10"/>
        <v>5.0200000000000005</v>
      </c>
      <c r="J38" s="25">
        <f t="shared" si="10"/>
        <v>4</v>
      </c>
      <c r="K38" s="25">
        <f t="shared" si="10"/>
        <v>2</v>
      </c>
    </row>
    <row r="39" spans="1:11" x14ac:dyDescent="0.3">
      <c r="A39" s="90"/>
      <c r="B39">
        <v>2.4E-2</v>
      </c>
      <c r="C39">
        <v>4.4999999999999997E-3</v>
      </c>
      <c r="D39">
        <v>5.0299999999999997E-3</v>
      </c>
      <c r="E39">
        <v>4.0000000000000001E-3</v>
      </c>
      <c r="F39">
        <v>2E-3</v>
      </c>
      <c r="G39">
        <f t="shared" si="10"/>
        <v>24</v>
      </c>
      <c r="H39" s="20">
        <f t="shared" si="10"/>
        <v>4.5</v>
      </c>
      <c r="I39">
        <f t="shared" si="10"/>
        <v>5.0299999999999994</v>
      </c>
      <c r="J39" s="25">
        <f t="shared" si="10"/>
        <v>4</v>
      </c>
      <c r="K39" s="25">
        <f t="shared" si="10"/>
        <v>2</v>
      </c>
    </row>
    <row r="40" spans="1:11" x14ac:dyDescent="0.3">
      <c r="A40" s="90"/>
      <c r="B40">
        <v>2.5000000000000001E-2</v>
      </c>
      <c r="C40">
        <v>4.4900000000000001E-3</v>
      </c>
      <c r="D40">
        <v>5.0299999999999997E-3</v>
      </c>
      <c r="E40">
        <v>3.0000000000000001E-3</v>
      </c>
      <c r="F40">
        <v>1E-3</v>
      </c>
      <c r="G40">
        <f t="shared" si="10"/>
        <v>25</v>
      </c>
      <c r="H40" s="20">
        <f t="shared" si="10"/>
        <v>4.49</v>
      </c>
      <c r="I40">
        <f t="shared" si="10"/>
        <v>5.0299999999999994</v>
      </c>
      <c r="J40" s="25">
        <f t="shared" si="10"/>
        <v>3</v>
      </c>
      <c r="K40" s="25">
        <f t="shared" si="10"/>
        <v>1</v>
      </c>
    </row>
    <row r="41" spans="1:11" x14ac:dyDescent="0.3">
      <c r="A41" s="90"/>
      <c r="B41">
        <v>2.5999999999999999E-2</v>
      </c>
      <c r="C41">
        <v>4.4900000000000001E-3</v>
      </c>
      <c r="D41">
        <v>5.0299999999999997E-3</v>
      </c>
      <c r="E41">
        <v>3.0000000000000001E-3</v>
      </c>
      <c r="F41">
        <v>1E-3</v>
      </c>
      <c r="G41">
        <f t="shared" si="10"/>
        <v>26</v>
      </c>
      <c r="H41" s="20">
        <f t="shared" si="10"/>
        <v>4.49</v>
      </c>
      <c r="I41">
        <f t="shared" si="10"/>
        <v>5.0299999999999994</v>
      </c>
      <c r="J41" s="25">
        <f t="shared" si="10"/>
        <v>3</v>
      </c>
      <c r="K41" s="25">
        <f t="shared" si="10"/>
        <v>1</v>
      </c>
    </row>
    <row r="42" spans="1:11" x14ac:dyDescent="0.3">
      <c r="A42" s="90"/>
      <c r="B42">
        <v>2.7E-2</v>
      </c>
      <c r="C42">
        <v>4.4999999999999997E-3</v>
      </c>
      <c r="D42">
        <v>5.0299999999999997E-3</v>
      </c>
      <c r="E42">
        <v>3.0000000000000001E-3</v>
      </c>
      <c r="F42">
        <v>1E-3</v>
      </c>
      <c r="G42">
        <f t="shared" si="10"/>
        <v>27</v>
      </c>
      <c r="H42" s="20">
        <f t="shared" si="10"/>
        <v>4.5</v>
      </c>
      <c r="I42">
        <f t="shared" si="10"/>
        <v>5.0299999999999994</v>
      </c>
      <c r="J42" s="25">
        <f t="shared" si="10"/>
        <v>3</v>
      </c>
      <c r="K42" s="25">
        <f t="shared" si="10"/>
        <v>1</v>
      </c>
    </row>
    <row r="43" spans="1:11" x14ac:dyDescent="0.3">
      <c r="A43" s="90"/>
      <c r="B43">
        <v>2.8000000000000001E-2</v>
      </c>
      <c r="C43">
        <v>4.5300000000000002E-3</v>
      </c>
      <c r="D43">
        <v>5.0200000000000002E-3</v>
      </c>
      <c r="E43">
        <v>4.0000000000000001E-3</v>
      </c>
      <c r="F43">
        <v>2E-3</v>
      </c>
      <c r="G43">
        <f t="shared" si="10"/>
        <v>28</v>
      </c>
      <c r="H43" s="20">
        <f t="shared" si="10"/>
        <v>4.53</v>
      </c>
      <c r="I43">
        <f t="shared" si="10"/>
        <v>5.0200000000000005</v>
      </c>
      <c r="J43" s="25">
        <f t="shared" si="10"/>
        <v>4</v>
      </c>
      <c r="K43" s="25">
        <f t="shared" si="10"/>
        <v>2</v>
      </c>
    </row>
    <row r="44" spans="1:11" x14ac:dyDescent="0.3">
      <c r="A44" s="90"/>
      <c r="B44">
        <v>2.9000000000000001E-2</v>
      </c>
      <c r="C44">
        <v>4.5599999999999998E-3</v>
      </c>
      <c r="D44">
        <v>5.0099999999999997E-3</v>
      </c>
      <c r="E44">
        <v>4.0000000000000001E-3</v>
      </c>
      <c r="F44">
        <v>2E-3</v>
      </c>
      <c r="G44">
        <f t="shared" si="10"/>
        <v>29</v>
      </c>
      <c r="H44" s="20">
        <f t="shared" si="10"/>
        <v>4.5599999999999996</v>
      </c>
      <c r="I44">
        <f t="shared" si="10"/>
        <v>5.01</v>
      </c>
      <c r="J44" s="25">
        <f t="shared" si="10"/>
        <v>4</v>
      </c>
      <c r="K44" s="25">
        <f t="shared" si="10"/>
        <v>2</v>
      </c>
    </row>
    <row r="45" spans="1:11" x14ac:dyDescent="0.3">
      <c r="A45" s="90" t="s">
        <v>30</v>
      </c>
      <c r="B45" s="77" t="s">
        <v>29</v>
      </c>
      <c r="C45" s="77"/>
      <c r="D45" s="77"/>
      <c r="E45" s="77" t="s">
        <v>36</v>
      </c>
      <c r="F45" s="77"/>
      <c r="G45" s="77" t="s">
        <v>29</v>
      </c>
      <c r="H45" s="77"/>
      <c r="I45" s="77"/>
      <c r="J45" s="77" t="s">
        <v>36</v>
      </c>
      <c r="K45" s="77"/>
    </row>
    <row r="46" spans="1:11" x14ac:dyDescent="0.3">
      <c r="A46" s="90"/>
      <c r="B46" t="s">
        <v>28</v>
      </c>
      <c r="C46" t="s">
        <v>27</v>
      </c>
      <c r="D46" t="s">
        <v>8</v>
      </c>
      <c r="E46" t="s">
        <v>31</v>
      </c>
      <c r="F46" t="s">
        <v>8</v>
      </c>
      <c r="G46" t="s">
        <v>28</v>
      </c>
      <c r="H46" t="s">
        <v>27</v>
      </c>
      <c r="I46" t="s">
        <v>8</v>
      </c>
      <c r="J46" t="s">
        <v>31</v>
      </c>
      <c r="K46" t="s">
        <v>8</v>
      </c>
    </row>
    <row r="47" spans="1:11" x14ac:dyDescent="0.3">
      <c r="A47" s="90" t="s">
        <v>72</v>
      </c>
      <c r="B47">
        <v>0.01</v>
      </c>
      <c r="C47">
        <v>6.7600000000000004E-3</v>
      </c>
      <c r="D47">
        <v>5.1999999999999998E-3</v>
      </c>
      <c r="E47">
        <v>1.2999999999999999E-2</v>
      </c>
      <c r="F47">
        <v>3.0000000000000001E-3</v>
      </c>
      <c r="G47">
        <f>B47*1000</f>
        <v>10</v>
      </c>
      <c r="H47">
        <f>C47*1000</f>
        <v>6.7600000000000007</v>
      </c>
      <c r="I47">
        <f>D47*1000</f>
        <v>5.2</v>
      </c>
      <c r="J47" s="25">
        <f>E47*1000</f>
        <v>13</v>
      </c>
      <c r="K47" s="25">
        <f>F47*1000</f>
        <v>3</v>
      </c>
    </row>
    <row r="48" spans="1:11" x14ac:dyDescent="0.3">
      <c r="A48" s="90"/>
      <c r="B48">
        <v>1.0999999999999999E-2</v>
      </c>
      <c r="C48">
        <v>6.6499999999999997E-3</v>
      </c>
      <c r="D48">
        <v>5.2500000000000003E-3</v>
      </c>
      <c r="E48">
        <v>1.2E-2</v>
      </c>
      <c r="F48">
        <v>3.0000000000000001E-3</v>
      </c>
      <c r="G48">
        <f t="shared" ref="G48:G63" si="11">B48*1000</f>
        <v>11</v>
      </c>
      <c r="H48">
        <f t="shared" ref="H48:H63" si="12">C48*1000</f>
        <v>6.6499999999999995</v>
      </c>
      <c r="I48">
        <f t="shared" ref="I48:I63" si="13">D48*1000</f>
        <v>5.25</v>
      </c>
      <c r="J48" s="25">
        <f t="shared" ref="J48:J63" si="14">E48*1000</f>
        <v>12</v>
      </c>
      <c r="K48" s="25">
        <f t="shared" ref="K48:K63" si="15">F48*1000</f>
        <v>3</v>
      </c>
    </row>
    <row r="49" spans="1:11" x14ac:dyDescent="0.3">
      <c r="A49" s="90"/>
      <c r="B49">
        <v>1.2E-2</v>
      </c>
      <c r="C49">
        <v>6.5399999999999998E-3</v>
      </c>
      <c r="D49">
        <v>5.3E-3</v>
      </c>
      <c r="E49">
        <v>1.2E-2</v>
      </c>
      <c r="F49">
        <v>5.0000000000000001E-3</v>
      </c>
      <c r="G49">
        <f t="shared" si="11"/>
        <v>12</v>
      </c>
      <c r="H49" s="20">
        <f t="shared" si="12"/>
        <v>6.54</v>
      </c>
      <c r="I49">
        <f t="shared" si="13"/>
        <v>5.3</v>
      </c>
      <c r="J49" s="25">
        <f t="shared" si="14"/>
        <v>12</v>
      </c>
      <c r="K49" s="25">
        <f t="shared" si="15"/>
        <v>5</v>
      </c>
    </row>
    <row r="50" spans="1:11" x14ac:dyDescent="0.3">
      <c r="A50" s="90"/>
      <c r="B50">
        <v>1.2999999999999999E-2</v>
      </c>
      <c r="C50">
        <v>6.3899999999999998E-3</v>
      </c>
      <c r="D50">
        <v>5.3E-3</v>
      </c>
      <c r="E50">
        <v>1.0999999999999999E-2</v>
      </c>
      <c r="F50">
        <v>5.0000000000000001E-3</v>
      </c>
      <c r="G50">
        <f t="shared" si="11"/>
        <v>13</v>
      </c>
      <c r="H50" s="20">
        <f t="shared" si="12"/>
        <v>6.39</v>
      </c>
      <c r="I50">
        <f t="shared" si="13"/>
        <v>5.3</v>
      </c>
      <c r="J50" s="25">
        <f t="shared" si="14"/>
        <v>11</v>
      </c>
      <c r="K50" s="25">
        <f t="shared" si="15"/>
        <v>5</v>
      </c>
    </row>
    <row r="51" spans="1:11" x14ac:dyDescent="0.3">
      <c r="A51" s="90"/>
      <c r="B51">
        <v>1.4E-2</v>
      </c>
      <c r="C51">
        <v>6.2899999999999996E-3</v>
      </c>
      <c r="D51">
        <v>5.3400000000000001E-3</v>
      </c>
      <c r="E51">
        <v>1.0999999999999999E-2</v>
      </c>
      <c r="F51">
        <v>5.0000000000000001E-3</v>
      </c>
      <c r="G51">
        <f t="shared" si="11"/>
        <v>14</v>
      </c>
      <c r="H51" s="20">
        <f t="shared" si="12"/>
        <v>6.2899999999999991</v>
      </c>
      <c r="I51">
        <f t="shared" si="13"/>
        <v>5.34</v>
      </c>
      <c r="J51" s="25">
        <f t="shared" si="14"/>
        <v>11</v>
      </c>
      <c r="K51" s="25">
        <f t="shared" si="15"/>
        <v>5</v>
      </c>
    </row>
    <row r="52" spans="1:11" x14ac:dyDescent="0.3">
      <c r="A52" s="90"/>
      <c r="B52">
        <v>1.4999999999999999E-2</v>
      </c>
      <c r="C52">
        <v>6.1900000000000002E-3</v>
      </c>
      <c r="D52">
        <v>5.3899999999999998E-3</v>
      </c>
      <c r="E52">
        <v>0.01</v>
      </c>
      <c r="F52">
        <v>5.0000000000000001E-3</v>
      </c>
      <c r="G52">
        <f t="shared" si="11"/>
        <v>15</v>
      </c>
      <c r="H52" s="20">
        <f t="shared" si="12"/>
        <v>6.19</v>
      </c>
      <c r="I52">
        <f t="shared" si="13"/>
        <v>5.39</v>
      </c>
      <c r="J52" s="25">
        <f t="shared" si="14"/>
        <v>10</v>
      </c>
      <c r="K52" s="25">
        <f t="shared" si="15"/>
        <v>5</v>
      </c>
    </row>
    <row r="53" spans="1:11" x14ac:dyDescent="0.3">
      <c r="A53" s="90"/>
      <c r="B53">
        <v>1.6E-2</v>
      </c>
      <c r="C53">
        <v>6.0899999999999999E-3</v>
      </c>
      <c r="D53">
        <v>5.4299999999999999E-3</v>
      </c>
      <c r="E53">
        <v>8.9999999999999993E-3</v>
      </c>
      <c r="F53">
        <v>5.0000000000000001E-3</v>
      </c>
      <c r="G53">
        <f t="shared" si="11"/>
        <v>16</v>
      </c>
      <c r="H53" s="20">
        <f t="shared" si="12"/>
        <v>6.09</v>
      </c>
      <c r="I53">
        <f t="shared" si="13"/>
        <v>5.43</v>
      </c>
      <c r="J53" s="25">
        <f t="shared" si="14"/>
        <v>9</v>
      </c>
      <c r="K53" s="25">
        <f t="shared" si="15"/>
        <v>5</v>
      </c>
    </row>
    <row r="54" spans="1:11" x14ac:dyDescent="0.3">
      <c r="A54" s="90"/>
      <c r="B54">
        <v>1.7000000000000001E-2</v>
      </c>
      <c r="C54">
        <v>6.0000000000000001E-3</v>
      </c>
      <c r="D54">
        <v>5.4799999999999996E-3</v>
      </c>
      <c r="E54">
        <v>8.0000000000000002E-3</v>
      </c>
      <c r="F54">
        <v>5.0000000000000001E-3</v>
      </c>
      <c r="G54">
        <f t="shared" si="11"/>
        <v>17</v>
      </c>
      <c r="H54" s="20">
        <f t="shared" si="12"/>
        <v>6</v>
      </c>
      <c r="I54">
        <f t="shared" si="13"/>
        <v>5.4799999999999995</v>
      </c>
      <c r="J54" s="25">
        <f t="shared" si="14"/>
        <v>8</v>
      </c>
      <c r="K54" s="25">
        <f t="shared" si="15"/>
        <v>5</v>
      </c>
    </row>
    <row r="55" spans="1:11" x14ac:dyDescent="0.3">
      <c r="A55" s="90"/>
      <c r="B55">
        <v>1.7999999999999999E-2</v>
      </c>
      <c r="C55">
        <v>5.8900000000000003E-3</v>
      </c>
      <c r="D55">
        <v>5.47E-3</v>
      </c>
      <c r="E55">
        <v>8.0000000000000002E-3</v>
      </c>
      <c r="F55">
        <v>4.0000000000000001E-3</v>
      </c>
      <c r="G55">
        <f t="shared" si="11"/>
        <v>18</v>
      </c>
      <c r="H55" s="20">
        <f t="shared" si="12"/>
        <v>5.8900000000000006</v>
      </c>
      <c r="I55">
        <f t="shared" si="13"/>
        <v>5.47</v>
      </c>
      <c r="J55" s="25">
        <f t="shared" si="14"/>
        <v>8</v>
      </c>
      <c r="K55" s="25">
        <f t="shared" si="15"/>
        <v>4</v>
      </c>
    </row>
    <row r="56" spans="1:11" x14ac:dyDescent="0.3">
      <c r="A56" s="90"/>
      <c r="B56">
        <v>1.9E-2</v>
      </c>
      <c r="C56">
        <v>5.8100000000000001E-3</v>
      </c>
      <c r="D56">
        <v>5.5100000000000001E-3</v>
      </c>
      <c r="E56">
        <v>7.0000000000000001E-3</v>
      </c>
      <c r="F56">
        <v>4.0000000000000001E-3</v>
      </c>
      <c r="G56">
        <f t="shared" si="11"/>
        <v>19</v>
      </c>
      <c r="H56" s="20">
        <f t="shared" si="12"/>
        <v>5.8100000000000005</v>
      </c>
      <c r="I56">
        <f t="shared" si="13"/>
        <v>5.51</v>
      </c>
      <c r="J56" s="25">
        <f t="shared" si="14"/>
        <v>7</v>
      </c>
      <c r="K56" s="25">
        <f t="shared" si="15"/>
        <v>4</v>
      </c>
    </row>
    <row r="57" spans="1:11" x14ac:dyDescent="0.3">
      <c r="A57" s="90"/>
      <c r="B57">
        <v>0.02</v>
      </c>
      <c r="C57">
        <v>5.7400000000000003E-3</v>
      </c>
      <c r="D57">
        <v>5.5399999999999998E-3</v>
      </c>
      <c r="E57">
        <v>6.0000000000000001E-3</v>
      </c>
      <c r="F57">
        <v>4.0000000000000001E-3</v>
      </c>
      <c r="G57">
        <f t="shared" si="11"/>
        <v>20</v>
      </c>
      <c r="H57" s="20">
        <f t="shared" si="12"/>
        <v>5.74</v>
      </c>
      <c r="I57">
        <f t="shared" si="13"/>
        <v>5.54</v>
      </c>
      <c r="J57" s="25">
        <f t="shared" si="14"/>
        <v>6</v>
      </c>
      <c r="K57" s="25">
        <f t="shared" si="15"/>
        <v>4</v>
      </c>
    </row>
    <row r="58" spans="1:11" x14ac:dyDescent="0.3">
      <c r="A58" s="90"/>
      <c r="B58">
        <v>2.1000000000000001E-2</v>
      </c>
      <c r="C58">
        <v>5.6699999999999997E-3</v>
      </c>
      <c r="D58">
        <v>5.5500000000000002E-3</v>
      </c>
      <c r="E58">
        <v>5.0000000000000001E-3</v>
      </c>
      <c r="F58">
        <v>4.0000000000000001E-3</v>
      </c>
      <c r="G58">
        <f t="shared" si="11"/>
        <v>21</v>
      </c>
      <c r="H58" s="20">
        <f t="shared" si="12"/>
        <v>5.67</v>
      </c>
      <c r="I58">
        <f t="shared" si="13"/>
        <v>5.55</v>
      </c>
      <c r="J58" s="25">
        <f t="shared" si="14"/>
        <v>5</v>
      </c>
      <c r="K58" s="25">
        <f t="shared" si="15"/>
        <v>4</v>
      </c>
    </row>
    <row r="59" spans="1:11" x14ac:dyDescent="0.3">
      <c r="A59" s="90"/>
      <c r="B59">
        <v>2.1999999999999999E-2</v>
      </c>
      <c r="C59">
        <v>5.5399999999999998E-3</v>
      </c>
      <c r="D59">
        <v>5.4999999999999997E-3</v>
      </c>
      <c r="E59">
        <v>5.0000000000000001E-3</v>
      </c>
      <c r="F59">
        <v>4.0000000000000001E-3</v>
      </c>
      <c r="G59">
        <f t="shared" si="11"/>
        <v>22</v>
      </c>
      <c r="H59" s="20">
        <f t="shared" si="12"/>
        <v>5.54</v>
      </c>
      <c r="I59">
        <f t="shared" si="13"/>
        <v>5.5</v>
      </c>
      <c r="J59" s="25">
        <f t="shared" si="14"/>
        <v>5</v>
      </c>
      <c r="K59" s="25">
        <f t="shared" si="15"/>
        <v>4</v>
      </c>
    </row>
    <row r="60" spans="1:11" x14ac:dyDescent="0.3">
      <c r="A60" s="90"/>
      <c r="B60">
        <v>2.3E-2</v>
      </c>
      <c r="C60">
        <v>5.3800000000000002E-3</v>
      </c>
      <c r="D60">
        <v>5.3699999999999998E-3</v>
      </c>
      <c r="E60">
        <v>4.0000000000000001E-3</v>
      </c>
      <c r="F60">
        <v>4.0000000000000001E-3</v>
      </c>
      <c r="G60">
        <f t="shared" si="11"/>
        <v>23</v>
      </c>
      <c r="H60" s="20">
        <f t="shared" si="12"/>
        <v>5.38</v>
      </c>
      <c r="I60">
        <f t="shared" si="13"/>
        <v>5.37</v>
      </c>
      <c r="J60" s="25">
        <f t="shared" si="14"/>
        <v>4</v>
      </c>
      <c r="K60" s="25">
        <f t="shared" si="15"/>
        <v>4</v>
      </c>
    </row>
    <row r="61" spans="1:11" x14ac:dyDescent="0.3">
      <c r="A61" s="90"/>
      <c r="B61">
        <v>2.4E-2</v>
      </c>
      <c r="C61">
        <v>5.3099999999999996E-3</v>
      </c>
      <c r="D61">
        <v>5.3499999999999997E-3</v>
      </c>
      <c r="E61">
        <v>4.0000000000000001E-3</v>
      </c>
      <c r="F61">
        <v>3.0000000000000001E-3</v>
      </c>
      <c r="G61">
        <f t="shared" si="11"/>
        <v>24</v>
      </c>
      <c r="H61" s="20">
        <f t="shared" si="12"/>
        <v>5.31</v>
      </c>
      <c r="I61">
        <f t="shared" si="13"/>
        <v>5.35</v>
      </c>
      <c r="J61" s="25">
        <f t="shared" si="14"/>
        <v>4</v>
      </c>
      <c r="K61" s="25">
        <f t="shared" si="15"/>
        <v>3</v>
      </c>
    </row>
    <row r="62" spans="1:11" x14ac:dyDescent="0.3">
      <c r="A62" s="90"/>
      <c r="B62">
        <v>2.5000000000000001E-2</v>
      </c>
      <c r="C62">
        <v>5.2900000000000004E-3</v>
      </c>
      <c r="D62">
        <v>5.3600000000000002E-3</v>
      </c>
      <c r="E62">
        <v>3.0000000000000001E-3</v>
      </c>
      <c r="F62">
        <v>1E-3</v>
      </c>
      <c r="G62">
        <f t="shared" si="11"/>
        <v>25</v>
      </c>
      <c r="H62" s="20">
        <f t="shared" si="12"/>
        <v>5.29</v>
      </c>
      <c r="I62">
        <f t="shared" si="13"/>
        <v>5.36</v>
      </c>
      <c r="J62" s="25">
        <f t="shared" si="14"/>
        <v>3</v>
      </c>
      <c r="K62" s="25">
        <f t="shared" si="15"/>
        <v>1</v>
      </c>
    </row>
    <row r="63" spans="1:11" x14ac:dyDescent="0.3">
      <c r="A63" s="90"/>
      <c r="B63">
        <v>2.5999999999999999E-2</v>
      </c>
      <c r="C63">
        <v>5.28E-3</v>
      </c>
      <c r="D63">
        <v>5.3699999999999998E-3</v>
      </c>
      <c r="E63">
        <v>3.0000000000000001E-3</v>
      </c>
      <c r="F63">
        <v>1E-3</v>
      </c>
      <c r="G63">
        <f t="shared" si="11"/>
        <v>26</v>
      </c>
      <c r="H63" s="20">
        <f t="shared" si="12"/>
        <v>5.28</v>
      </c>
      <c r="I63">
        <f t="shared" si="13"/>
        <v>5.37</v>
      </c>
      <c r="J63" s="25">
        <f t="shared" si="14"/>
        <v>3</v>
      </c>
      <c r="K63" s="25">
        <f t="shared" si="15"/>
        <v>1</v>
      </c>
    </row>
    <row r="64" spans="1:11" x14ac:dyDescent="0.3">
      <c r="A64" s="90"/>
      <c r="B64">
        <v>2.7E-2</v>
      </c>
      <c r="C64">
        <v>5.2900000000000004E-3</v>
      </c>
      <c r="D64">
        <v>5.4000000000000003E-3</v>
      </c>
      <c r="E64">
        <v>4.0000000000000001E-3</v>
      </c>
      <c r="F64">
        <v>3.0000000000000001E-3</v>
      </c>
      <c r="G64">
        <f t="shared" ref="G64:G66" si="16">B64*1000</f>
        <v>27</v>
      </c>
      <c r="H64" s="20">
        <f t="shared" ref="H64:H66" si="17">C64*1000</f>
        <v>5.29</v>
      </c>
      <c r="I64">
        <f t="shared" ref="I64:I66" si="18">D64*1000</f>
        <v>5.4</v>
      </c>
      <c r="J64" s="25">
        <f t="shared" ref="J64:J66" si="19">E64*1000</f>
        <v>4</v>
      </c>
      <c r="K64" s="25">
        <f t="shared" ref="K64:K66" si="20">F64*1000</f>
        <v>3</v>
      </c>
    </row>
    <row r="65" spans="1:11" x14ac:dyDescent="0.3">
      <c r="A65" s="90"/>
      <c r="B65">
        <v>2.8000000000000001E-2</v>
      </c>
      <c r="C65">
        <v>5.3099999999999996E-3</v>
      </c>
      <c r="D65">
        <v>5.5999999999999999E-3</v>
      </c>
      <c r="E65">
        <v>4.0000000000000001E-3</v>
      </c>
      <c r="F65">
        <v>4.0000000000000001E-3</v>
      </c>
      <c r="G65">
        <f t="shared" si="16"/>
        <v>28</v>
      </c>
      <c r="H65" s="20">
        <f t="shared" si="17"/>
        <v>5.31</v>
      </c>
      <c r="I65">
        <f t="shared" si="18"/>
        <v>5.6</v>
      </c>
      <c r="J65" s="25">
        <f t="shared" si="19"/>
        <v>4</v>
      </c>
      <c r="K65" s="25">
        <f t="shared" si="20"/>
        <v>4</v>
      </c>
    </row>
    <row r="66" spans="1:11" x14ac:dyDescent="0.3">
      <c r="A66" s="90"/>
      <c r="B66">
        <v>2.9000000000000001E-2</v>
      </c>
      <c r="C66">
        <v>5.3299999999999997E-3</v>
      </c>
      <c r="D66">
        <v>5.7000000000000002E-3</v>
      </c>
      <c r="E66">
        <v>4.0000000000000001E-3</v>
      </c>
      <c r="F66">
        <v>3.0000000000000001E-3</v>
      </c>
      <c r="G66">
        <f t="shared" si="16"/>
        <v>29</v>
      </c>
      <c r="H66" s="20">
        <f t="shared" si="17"/>
        <v>5.33</v>
      </c>
      <c r="I66">
        <f t="shared" si="18"/>
        <v>5.7</v>
      </c>
      <c r="J66" s="25">
        <f t="shared" si="19"/>
        <v>4</v>
      </c>
      <c r="K66" s="25">
        <f t="shared" si="20"/>
        <v>3</v>
      </c>
    </row>
    <row r="67" spans="1:11" x14ac:dyDescent="0.3">
      <c r="A67" s="90" t="s">
        <v>30</v>
      </c>
      <c r="B67" s="77" t="s">
        <v>29</v>
      </c>
      <c r="C67" s="77"/>
      <c r="D67" s="77"/>
      <c r="E67" s="77" t="s">
        <v>36</v>
      </c>
      <c r="F67" s="77"/>
      <c r="G67" s="77" t="s">
        <v>29</v>
      </c>
      <c r="H67" s="77"/>
      <c r="I67" s="77"/>
      <c r="J67" s="77" t="s">
        <v>36</v>
      </c>
      <c r="K67" s="77"/>
    </row>
    <row r="68" spans="1:11" x14ac:dyDescent="0.3">
      <c r="A68" s="90"/>
      <c r="B68" t="s">
        <v>28</v>
      </c>
      <c r="C68" t="s">
        <v>27</v>
      </c>
      <c r="D68" t="s">
        <v>8</v>
      </c>
      <c r="E68" t="s">
        <v>31</v>
      </c>
      <c r="F68" t="s">
        <v>8</v>
      </c>
      <c r="G68" t="s">
        <v>28</v>
      </c>
      <c r="H68" t="s">
        <v>27</v>
      </c>
      <c r="I68" t="s">
        <v>8</v>
      </c>
      <c r="J68" t="s">
        <v>31</v>
      </c>
      <c r="K68" t="s">
        <v>8</v>
      </c>
    </row>
    <row r="69" spans="1:11" x14ac:dyDescent="0.3">
      <c r="A69" s="90" t="s">
        <v>73</v>
      </c>
      <c r="B69">
        <v>0.01</v>
      </c>
      <c r="C69">
        <v>6.7000000000000002E-3</v>
      </c>
      <c r="D69">
        <v>6.3299999999999997E-3</v>
      </c>
      <c r="E69">
        <v>1.2E-2</v>
      </c>
      <c r="F69">
        <v>4.0000000000000001E-3</v>
      </c>
      <c r="G69">
        <f>B69*1000</f>
        <v>10</v>
      </c>
      <c r="H69">
        <f>C69*1000</f>
        <v>6.7</v>
      </c>
      <c r="I69">
        <f>D69*1000</f>
        <v>6.33</v>
      </c>
      <c r="J69" s="25">
        <f>E69*1000</f>
        <v>12</v>
      </c>
      <c r="K69" s="25">
        <f>F69*1000</f>
        <v>4</v>
      </c>
    </row>
    <row r="70" spans="1:11" x14ac:dyDescent="0.3">
      <c r="A70" s="90"/>
      <c r="B70">
        <v>1.0999999999999999E-2</v>
      </c>
      <c r="C70">
        <v>6.6E-3</v>
      </c>
      <c r="D70">
        <v>6.3800000000000003E-3</v>
      </c>
      <c r="E70">
        <v>1.0999999999999999E-2</v>
      </c>
      <c r="F70">
        <v>4.0000000000000001E-3</v>
      </c>
      <c r="G70">
        <f t="shared" ref="G70:G88" si="21">B70*1000</f>
        <v>11</v>
      </c>
      <c r="H70">
        <f t="shared" ref="H70:H88" si="22">C70*1000</f>
        <v>6.6</v>
      </c>
      <c r="I70">
        <f t="shared" ref="I70:I88" si="23">D70*1000</f>
        <v>6.38</v>
      </c>
      <c r="J70" s="25">
        <f t="shared" ref="J70:J88" si="24">E70*1000</f>
        <v>11</v>
      </c>
      <c r="K70" s="25">
        <f t="shared" ref="K70:K88" si="25">F70*1000</f>
        <v>4</v>
      </c>
    </row>
    <row r="71" spans="1:11" x14ac:dyDescent="0.3">
      <c r="A71" s="90"/>
      <c r="B71">
        <v>1.2E-2</v>
      </c>
      <c r="C71">
        <v>6.5100000000000002E-3</v>
      </c>
      <c r="D71">
        <v>6.43E-3</v>
      </c>
      <c r="E71">
        <v>1.0999999999999999E-2</v>
      </c>
      <c r="F71">
        <v>4.0000000000000001E-3</v>
      </c>
      <c r="G71">
        <f t="shared" si="21"/>
        <v>12</v>
      </c>
      <c r="H71" s="20">
        <f t="shared" si="22"/>
        <v>6.51</v>
      </c>
      <c r="I71">
        <f t="shared" si="23"/>
        <v>6.43</v>
      </c>
      <c r="J71" s="25">
        <f t="shared" si="24"/>
        <v>11</v>
      </c>
      <c r="K71" s="25">
        <f t="shared" si="25"/>
        <v>4</v>
      </c>
    </row>
    <row r="72" spans="1:11" x14ac:dyDescent="0.3">
      <c r="A72" s="90"/>
      <c r="B72">
        <v>1.2999999999999999E-2</v>
      </c>
      <c r="C72">
        <v>6.4200000000000004E-3</v>
      </c>
      <c r="D72">
        <v>6.4700000000000001E-3</v>
      </c>
      <c r="E72">
        <v>0.01</v>
      </c>
      <c r="F72">
        <v>4.0000000000000001E-3</v>
      </c>
      <c r="G72">
        <f t="shared" si="21"/>
        <v>13</v>
      </c>
      <c r="H72" s="20">
        <f t="shared" si="22"/>
        <v>6.42</v>
      </c>
      <c r="I72">
        <f t="shared" si="23"/>
        <v>6.47</v>
      </c>
      <c r="J72" s="25">
        <f t="shared" si="24"/>
        <v>10</v>
      </c>
      <c r="K72" s="25">
        <f t="shared" si="25"/>
        <v>4</v>
      </c>
    </row>
    <row r="73" spans="1:11" x14ac:dyDescent="0.3">
      <c r="A73" s="90"/>
      <c r="B73">
        <v>1.4E-2</v>
      </c>
      <c r="C73">
        <v>6.3299999999999997E-3</v>
      </c>
      <c r="D73">
        <v>6.5199999999999998E-3</v>
      </c>
      <c r="E73">
        <v>8.9999999999999993E-3</v>
      </c>
      <c r="F73">
        <v>4.0000000000000001E-3</v>
      </c>
      <c r="G73">
        <f t="shared" si="21"/>
        <v>14</v>
      </c>
      <c r="H73" s="20">
        <f t="shared" si="22"/>
        <v>6.33</v>
      </c>
      <c r="I73">
        <f t="shared" si="23"/>
        <v>6.52</v>
      </c>
      <c r="J73" s="25">
        <f t="shared" si="24"/>
        <v>9</v>
      </c>
      <c r="K73" s="25">
        <f t="shared" si="25"/>
        <v>4</v>
      </c>
    </row>
    <row r="74" spans="1:11" x14ac:dyDescent="0.3">
      <c r="A74" s="90"/>
      <c r="B74">
        <v>1.4999999999999999E-2</v>
      </c>
      <c r="C74">
        <v>6.2500000000000003E-3</v>
      </c>
      <c r="D74">
        <v>6.5700000000000003E-3</v>
      </c>
      <c r="E74">
        <v>8.0000000000000002E-3</v>
      </c>
      <c r="F74">
        <v>4.0000000000000001E-3</v>
      </c>
      <c r="G74">
        <f t="shared" si="21"/>
        <v>15</v>
      </c>
      <c r="H74" s="20">
        <f t="shared" si="22"/>
        <v>6.25</v>
      </c>
      <c r="I74">
        <f t="shared" si="23"/>
        <v>6.57</v>
      </c>
      <c r="J74" s="25">
        <f t="shared" si="24"/>
        <v>8</v>
      </c>
      <c r="K74" s="25">
        <f t="shared" si="25"/>
        <v>4</v>
      </c>
    </row>
    <row r="75" spans="1:11" x14ac:dyDescent="0.3">
      <c r="A75" s="90"/>
      <c r="B75">
        <v>1.6E-2</v>
      </c>
      <c r="C75">
        <v>6.1700000000000001E-3</v>
      </c>
      <c r="D75">
        <v>6.6100000000000004E-3</v>
      </c>
      <c r="E75">
        <v>8.0000000000000002E-3</v>
      </c>
      <c r="F75">
        <v>4.0000000000000001E-3</v>
      </c>
      <c r="G75">
        <f t="shared" si="21"/>
        <v>16</v>
      </c>
      <c r="H75" s="20">
        <f t="shared" si="22"/>
        <v>6.17</v>
      </c>
      <c r="I75">
        <f t="shared" si="23"/>
        <v>6.61</v>
      </c>
      <c r="J75" s="25">
        <f t="shared" si="24"/>
        <v>8</v>
      </c>
      <c r="K75" s="25">
        <f t="shared" si="25"/>
        <v>4</v>
      </c>
    </row>
    <row r="76" spans="1:11" x14ac:dyDescent="0.3">
      <c r="A76" s="90"/>
      <c r="B76">
        <v>1.7000000000000001E-2</v>
      </c>
      <c r="C76">
        <v>6.1000000000000004E-3</v>
      </c>
      <c r="D76">
        <v>6.6499999999999997E-3</v>
      </c>
      <c r="E76">
        <v>7.0000000000000001E-3</v>
      </c>
      <c r="F76">
        <v>4.0000000000000001E-3</v>
      </c>
      <c r="G76">
        <f t="shared" si="21"/>
        <v>17</v>
      </c>
      <c r="H76" s="20">
        <f t="shared" si="22"/>
        <v>6.1000000000000005</v>
      </c>
      <c r="I76">
        <f t="shared" si="23"/>
        <v>6.6499999999999995</v>
      </c>
      <c r="J76" s="25">
        <f t="shared" si="24"/>
        <v>7</v>
      </c>
      <c r="K76" s="25">
        <f t="shared" si="25"/>
        <v>4</v>
      </c>
    </row>
    <row r="77" spans="1:11" x14ac:dyDescent="0.3">
      <c r="A77" s="90"/>
      <c r="B77">
        <v>1.7999999999999999E-2</v>
      </c>
      <c r="C77">
        <v>6.0400000000000002E-3</v>
      </c>
      <c r="D77">
        <v>6.6899999999999998E-3</v>
      </c>
      <c r="E77">
        <v>6.0000000000000001E-3</v>
      </c>
      <c r="F77">
        <v>4.0000000000000001E-3</v>
      </c>
      <c r="G77">
        <f t="shared" si="21"/>
        <v>18</v>
      </c>
      <c r="H77" s="20">
        <f t="shared" si="22"/>
        <v>6.04</v>
      </c>
      <c r="I77">
        <f t="shared" si="23"/>
        <v>6.6899999999999995</v>
      </c>
      <c r="J77" s="25">
        <f t="shared" si="24"/>
        <v>6</v>
      </c>
      <c r="K77" s="25">
        <f t="shared" si="25"/>
        <v>4</v>
      </c>
    </row>
    <row r="78" spans="1:11" x14ac:dyDescent="0.3">
      <c r="A78" s="90"/>
      <c r="B78">
        <v>1.9E-2</v>
      </c>
      <c r="C78">
        <v>5.9800000000000001E-3</v>
      </c>
      <c r="D78">
        <v>6.7200000000000003E-3</v>
      </c>
      <c r="E78">
        <v>6.0000000000000001E-3</v>
      </c>
      <c r="F78">
        <v>4.0000000000000001E-3</v>
      </c>
      <c r="G78">
        <f t="shared" si="21"/>
        <v>19</v>
      </c>
      <c r="H78" s="20">
        <f t="shared" si="22"/>
        <v>5.98</v>
      </c>
      <c r="I78">
        <f t="shared" si="23"/>
        <v>6.7200000000000006</v>
      </c>
      <c r="J78" s="25">
        <f t="shared" si="24"/>
        <v>6</v>
      </c>
      <c r="K78" s="25">
        <f t="shared" si="25"/>
        <v>4</v>
      </c>
    </row>
    <row r="79" spans="1:11" x14ac:dyDescent="0.3">
      <c r="A79" s="90"/>
      <c r="B79">
        <v>0.02</v>
      </c>
      <c r="C79">
        <v>5.9300000000000004E-3</v>
      </c>
      <c r="D79">
        <v>6.7499999999999999E-3</v>
      </c>
      <c r="E79">
        <v>5.0000000000000001E-3</v>
      </c>
      <c r="F79">
        <v>4.0000000000000001E-3</v>
      </c>
      <c r="G79">
        <f t="shared" si="21"/>
        <v>20</v>
      </c>
      <c r="H79" s="20">
        <f t="shared" si="22"/>
        <v>5.9300000000000006</v>
      </c>
      <c r="I79">
        <f t="shared" si="23"/>
        <v>6.75</v>
      </c>
      <c r="J79" s="25">
        <f t="shared" si="24"/>
        <v>5</v>
      </c>
      <c r="K79" s="25">
        <f t="shared" si="25"/>
        <v>4</v>
      </c>
    </row>
    <row r="80" spans="1:11" x14ac:dyDescent="0.3">
      <c r="A80" s="90"/>
      <c r="B80">
        <v>2.1000000000000001E-2</v>
      </c>
      <c r="C80">
        <v>5.8900000000000003E-3</v>
      </c>
      <c r="D80">
        <v>6.7799999999999996E-3</v>
      </c>
      <c r="E80">
        <v>4.0000000000000001E-3</v>
      </c>
      <c r="F80">
        <v>4.0000000000000001E-3</v>
      </c>
      <c r="G80">
        <f t="shared" si="21"/>
        <v>21</v>
      </c>
      <c r="H80" s="20">
        <f t="shared" si="22"/>
        <v>5.8900000000000006</v>
      </c>
      <c r="I80">
        <f t="shared" si="23"/>
        <v>6.7799999999999994</v>
      </c>
      <c r="J80" s="25">
        <f t="shared" si="24"/>
        <v>4</v>
      </c>
      <c r="K80" s="25">
        <f t="shared" si="25"/>
        <v>4</v>
      </c>
    </row>
    <row r="81" spans="1:14" x14ac:dyDescent="0.3">
      <c r="A81" s="90"/>
      <c r="B81">
        <v>2.1999999999999999E-2</v>
      </c>
      <c r="C81">
        <v>5.8599999999999998E-3</v>
      </c>
      <c r="D81">
        <v>6.7999999999999996E-3</v>
      </c>
      <c r="E81">
        <v>4.0000000000000001E-3</v>
      </c>
      <c r="F81">
        <v>4.0000000000000001E-3</v>
      </c>
      <c r="G81">
        <f t="shared" si="21"/>
        <v>22</v>
      </c>
      <c r="H81" s="20">
        <f t="shared" si="22"/>
        <v>5.8599999999999994</v>
      </c>
      <c r="I81">
        <f t="shared" si="23"/>
        <v>6.8</v>
      </c>
      <c r="J81" s="25">
        <f t="shared" si="24"/>
        <v>4</v>
      </c>
      <c r="K81" s="25">
        <f t="shared" si="25"/>
        <v>4</v>
      </c>
    </row>
    <row r="82" spans="1:14" x14ac:dyDescent="0.3">
      <c r="A82" s="90"/>
      <c r="B82">
        <v>2.3E-2</v>
      </c>
      <c r="C82">
        <v>5.8399999999999997E-3</v>
      </c>
      <c r="D82">
        <v>6.8100000000000001E-3</v>
      </c>
      <c r="E82">
        <v>4.0000000000000001E-3</v>
      </c>
      <c r="F82">
        <v>3.0000000000000001E-3</v>
      </c>
      <c r="G82">
        <f t="shared" si="21"/>
        <v>23</v>
      </c>
      <c r="H82" s="20">
        <f t="shared" si="22"/>
        <v>5.84</v>
      </c>
      <c r="I82">
        <f t="shared" si="23"/>
        <v>6.8100000000000005</v>
      </c>
      <c r="J82" s="25">
        <f t="shared" si="24"/>
        <v>4</v>
      </c>
      <c r="K82" s="25">
        <f t="shared" si="25"/>
        <v>3</v>
      </c>
    </row>
    <row r="83" spans="1:14" x14ac:dyDescent="0.3">
      <c r="A83" s="90"/>
      <c r="B83">
        <v>2.4E-2</v>
      </c>
      <c r="C83">
        <v>5.8300000000000001E-3</v>
      </c>
      <c r="D83">
        <v>6.8199999999999997E-3</v>
      </c>
      <c r="E83">
        <v>3.0000000000000001E-3</v>
      </c>
      <c r="F83">
        <v>3.0000000000000001E-3</v>
      </c>
      <c r="G83">
        <f t="shared" si="21"/>
        <v>24</v>
      </c>
      <c r="H83" s="20">
        <f t="shared" si="22"/>
        <v>5.83</v>
      </c>
      <c r="I83">
        <f t="shared" si="23"/>
        <v>6.8199999999999994</v>
      </c>
      <c r="J83" s="25">
        <f t="shared" si="24"/>
        <v>3</v>
      </c>
      <c r="K83" s="25">
        <f t="shared" si="25"/>
        <v>3</v>
      </c>
    </row>
    <row r="84" spans="1:14" x14ac:dyDescent="0.3">
      <c r="A84" s="90"/>
      <c r="B84">
        <v>2.5000000000000001E-2</v>
      </c>
      <c r="C84">
        <v>5.79E-3</v>
      </c>
      <c r="D84">
        <v>6.79E-3</v>
      </c>
      <c r="E84">
        <v>3.0000000000000001E-3</v>
      </c>
      <c r="F84">
        <v>1E-3</v>
      </c>
      <c r="G84">
        <f t="shared" si="21"/>
        <v>25</v>
      </c>
      <c r="H84" s="20">
        <f t="shared" si="22"/>
        <v>5.79</v>
      </c>
      <c r="I84">
        <f t="shared" si="23"/>
        <v>6.79</v>
      </c>
      <c r="J84" s="25">
        <f t="shared" si="24"/>
        <v>3</v>
      </c>
      <c r="K84" s="25">
        <f t="shared" si="25"/>
        <v>1</v>
      </c>
    </row>
    <row r="85" spans="1:14" x14ac:dyDescent="0.3">
      <c r="A85" s="90"/>
      <c r="B85">
        <v>2.5999999999999999E-2</v>
      </c>
      <c r="C85">
        <v>5.6699999999999997E-3</v>
      </c>
      <c r="D85">
        <v>6.6499999999999997E-3</v>
      </c>
      <c r="E85">
        <v>3.0000000000000001E-3</v>
      </c>
      <c r="F85">
        <v>1E-3</v>
      </c>
      <c r="G85">
        <f t="shared" si="21"/>
        <v>26</v>
      </c>
      <c r="H85" s="20">
        <f t="shared" si="22"/>
        <v>5.67</v>
      </c>
      <c r="I85">
        <f t="shared" si="23"/>
        <v>6.6499999999999995</v>
      </c>
      <c r="J85" s="25">
        <f t="shared" si="24"/>
        <v>3</v>
      </c>
      <c r="K85" s="25">
        <f t="shared" si="25"/>
        <v>1</v>
      </c>
    </row>
    <row r="86" spans="1:14" x14ac:dyDescent="0.3">
      <c r="A86" s="90"/>
      <c r="B86">
        <v>2.7E-2</v>
      </c>
      <c r="C86">
        <v>5.7000000000000002E-3</v>
      </c>
      <c r="D86">
        <v>6.7799999999999996E-3</v>
      </c>
      <c r="E86">
        <v>4.0000000000000001E-3</v>
      </c>
      <c r="F86">
        <v>1E-3</v>
      </c>
      <c r="G86">
        <f t="shared" si="21"/>
        <v>27</v>
      </c>
      <c r="H86" s="20">
        <f t="shared" si="22"/>
        <v>5.7</v>
      </c>
      <c r="I86">
        <f t="shared" si="23"/>
        <v>6.7799999999999994</v>
      </c>
      <c r="J86" s="25">
        <f t="shared" si="24"/>
        <v>4</v>
      </c>
      <c r="K86" s="25">
        <f t="shared" si="25"/>
        <v>1</v>
      </c>
    </row>
    <row r="87" spans="1:14" x14ac:dyDescent="0.3">
      <c r="A87" s="90"/>
      <c r="B87">
        <v>2.8000000000000001E-2</v>
      </c>
      <c r="C87">
        <v>5.7600000000000004E-3</v>
      </c>
      <c r="D87">
        <v>6.79E-3</v>
      </c>
      <c r="E87">
        <v>4.0000000000000001E-3</v>
      </c>
      <c r="F87">
        <v>1E-3</v>
      </c>
      <c r="G87">
        <f t="shared" si="21"/>
        <v>28</v>
      </c>
      <c r="H87" s="20">
        <f t="shared" si="22"/>
        <v>5.7600000000000007</v>
      </c>
      <c r="I87">
        <f t="shared" si="23"/>
        <v>6.79</v>
      </c>
      <c r="J87" s="25">
        <f t="shared" si="24"/>
        <v>4</v>
      </c>
      <c r="K87" s="25">
        <f t="shared" si="25"/>
        <v>1</v>
      </c>
    </row>
    <row r="88" spans="1:14" x14ac:dyDescent="0.3">
      <c r="A88" s="90"/>
      <c r="B88">
        <v>2.9000000000000001E-2</v>
      </c>
      <c r="C88">
        <v>5.7999999999999996E-3</v>
      </c>
      <c r="D88">
        <v>6.79E-3</v>
      </c>
      <c r="E88">
        <v>5.0000000000000001E-3</v>
      </c>
      <c r="F88">
        <v>2E-3</v>
      </c>
      <c r="G88">
        <f t="shared" si="21"/>
        <v>29</v>
      </c>
      <c r="H88" s="20">
        <f t="shared" si="22"/>
        <v>5.8</v>
      </c>
      <c r="I88">
        <f t="shared" si="23"/>
        <v>6.79</v>
      </c>
      <c r="J88" s="25">
        <f t="shared" si="24"/>
        <v>5</v>
      </c>
      <c r="K88" s="25">
        <f t="shared" si="25"/>
        <v>2</v>
      </c>
    </row>
    <row r="89" spans="1:14" x14ac:dyDescent="0.3">
      <c r="A89" s="90" t="s">
        <v>30</v>
      </c>
      <c r="B89" s="77" t="s">
        <v>29</v>
      </c>
      <c r="C89" s="77"/>
      <c r="D89" s="77"/>
      <c r="E89" s="77" t="s">
        <v>36</v>
      </c>
      <c r="F89" s="77"/>
      <c r="G89" s="77" t="s">
        <v>29</v>
      </c>
      <c r="H89" s="77"/>
      <c r="I89" s="77"/>
      <c r="J89" s="77" t="s">
        <v>36</v>
      </c>
      <c r="K89" s="77"/>
    </row>
    <row r="90" spans="1:14" x14ac:dyDescent="0.3">
      <c r="A90" s="90"/>
      <c r="B90" t="s">
        <v>28</v>
      </c>
      <c r="C90" t="s">
        <v>27</v>
      </c>
      <c r="D90" t="s">
        <v>8</v>
      </c>
      <c r="E90" t="s">
        <v>31</v>
      </c>
      <c r="F90" t="s">
        <v>8</v>
      </c>
      <c r="G90" t="s">
        <v>28</v>
      </c>
      <c r="H90" t="s">
        <v>27</v>
      </c>
      <c r="I90" t="s">
        <v>8</v>
      </c>
      <c r="J90" t="s">
        <v>31</v>
      </c>
      <c r="K90" t="s">
        <v>8</v>
      </c>
    </row>
    <row r="91" spans="1:14" x14ac:dyDescent="0.3">
      <c r="A91" s="90" t="s">
        <v>74</v>
      </c>
      <c r="B91">
        <v>0.01</v>
      </c>
      <c r="C91">
        <v>5.4000000000000003E-3</v>
      </c>
      <c r="D91">
        <v>4.9199999999999999E-3</v>
      </c>
      <c r="E91">
        <v>1.2999999999999999E-2</v>
      </c>
      <c r="F91">
        <v>7.0000000000000001E-3</v>
      </c>
      <c r="G91">
        <f>B91*1000</f>
        <v>10</v>
      </c>
      <c r="H91">
        <f>C91*1000</f>
        <v>5.4</v>
      </c>
      <c r="I91">
        <f>D91*1000</f>
        <v>4.92</v>
      </c>
      <c r="J91" s="25">
        <f>E91*1000</f>
        <v>13</v>
      </c>
      <c r="K91" s="25">
        <f>F91*1000</f>
        <v>7</v>
      </c>
    </row>
    <row r="92" spans="1:14" x14ac:dyDescent="0.3">
      <c r="A92" s="90"/>
      <c r="B92">
        <v>1.0999999999999999E-2</v>
      </c>
      <c r="C92">
        <v>5.2900000000000004E-3</v>
      </c>
      <c r="D92">
        <v>4.8799999999999998E-3</v>
      </c>
      <c r="E92">
        <v>1.2E-2</v>
      </c>
      <c r="F92">
        <v>7.0000000000000001E-3</v>
      </c>
      <c r="G92">
        <f t="shared" ref="G92:G107" si="26">B92*1000</f>
        <v>11</v>
      </c>
      <c r="H92">
        <f t="shared" ref="H92:H107" si="27">C92*1000</f>
        <v>5.29</v>
      </c>
      <c r="I92">
        <f t="shared" ref="I92:I107" si="28">D92*1000</f>
        <v>4.88</v>
      </c>
      <c r="J92" s="25">
        <f t="shared" ref="J92:J107" si="29">E92*1000</f>
        <v>12</v>
      </c>
      <c r="K92" s="25">
        <f t="shared" ref="K92:K107" si="30">F92*1000</f>
        <v>7</v>
      </c>
    </row>
    <row r="93" spans="1:14" x14ac:dyDescent="0.3">
      <c r="A93" s="90"/>
      <c r="B93">
        <v>1.2E-2</v>
      </c>
      <c r="C93">
        <v>5.2100000000000002E-3</v>
      </c>
      <c r="D93">
        <v>4.9100000000000003E-3</v>
      </c>
      <c r="E93">
        <v>1.0999999999999999E-2</v>
      </c>
      <c r="F93">
        <v>7.0000000000000001E-3</v>
      </c>
      <c r="G93">
        <f t="shared" si="26"/>
        <v>12</v>
      </c>
      <c r="H93" s="20">
        <f t="shared" si="27"/>
        <v>5.21</v>
      </c>
      <c r="I93">
        <f t="shared" si="28"/>
        <v>4.91</v>
      </c>
      <c r="J93" s="25">
        <f t="shared" si="29"/>
        <v>11</v>
      </c>
      <c r="K93" s="25">
        <f t="shared" si="30"/>
        <v>7</v>
      </c>
    </row>
    <row r="94" spans="1:14" x14ac:dyDescent="0.3">
      <c r="A94" s="90"/>
      <c r="B94">
        <v>1.2999999999999999E-2</v>
      </c>
      <c r="C94">
        <v>5.11E-3</v>
      </c>
      <c r="D94">
        <v>4.9100000000000003E-3</v>
      </c>
      <c r="E94">
        <v>0.01</v>
      </c>
      <c r="F94">
        <v>7.0000000000000001E-3</v>
      </c>
      <c r="G94">
        <f t="shared" si="26"/>
        <v>13</v>
      </c>
      <c r="H94" s="20">
        <f t="shared" si="27"/>
        <v>5.1100000000000003</v>
      </c>
      <c r="I94">
        <f t="shared" si="28"/>
        <v>4.91</v>
      </c>
      <c r="J94" s="25">
        <f t="shared" si="29"/>
        <v>10</v>
      </c>
      <c r="K94" s="25">
        <f t="shared" si="30"/>
        <v>7</v>
      </c>
      <c r="N94" s="50"/>
    </row>
    <row r="95" spans="1:14" x14ac:dyDescent="0.3">
      <c r="A95" s="90"/>
      <c r="B95">
        <v>1.4E-2</v>
      </c>
      <c r="C95">
        <v>5.0200000000000002E-3</v>
      </c>
      <c r="D95">
        <v>4.8799999999999998E-3</v>
      </c>
      <c r="E95">
        <v>0.01</v>
      </c>
      <c r="F95">
        <v>7.0000000000000001E-3</v>
      </c>
      <c r="G95">
        <f t="shared" si="26"/>
        <v>14</v>
      </c>
      <c r="H95" s="20">
        <f t="shared" si="27"/>
        <v>5.0200000000000005</v>
      </c>
      <c r="I95">
        <f t="shared" si="28"/>
        <v>4.88</v>
      </c>
      <c r="J95" s="25">
        <f t="shared" si="29"/>
        <v>10</v>
      </c>
      <c r="K95" s="25">
        <f t="shared" si="30"/>
        <v>7</v>
      </c>
    </row>
    <row r="96" spans="1:14" x14ac:dyDescent="0.3">
      <c r="A96" s="90"/>
      <c r="B96">
        <v>1.4999999999999999E-2</v>
      </c>
      <c r="C96">
        <v>4.9399999999999999E-3</v>
      </c>
      <c r="D96">
        <v>4.8700000000000002E-3</v>
      </c>
      <c r="E96">
        <v>8.9999999999999993E-3</v>
      </c>
      <c r="F96">
        <v>7.0000000000000001E-3</v>
      </c>
      <c r="G96">
        <f t="shared" si="26"/>
        <v>15</v>
      </c>
      <c r="H96" s="20">
        <f t="shared" si="27"/>
        <v>4.9399999999999995</v>
      </c>
      <c r="I96">
        <f t="shared" si="28"/>
        <v>4.87</v>
      </c>
      <c r="J96" s="25">
        <f t="shared" si="29"/>
        <v>9</v>
      </c>
      <c r="K96" s="25">
        <f t="shared" si="30"/>
        <v>7</v>
      </c>
    </row>
    <row r="97" spans="1:11" x14ac:dyDescent="0.3">
      <c r="A97" s="90"/>
      <c r="B97">
        <v>1.6E-2</v>
      </c>
      <c r="C97">
        <v>4.8399999999999997E-3</v>
      </c>
      <c r="D97">
        <v>4.7999999999999996E-3</v>
      </c>
      <c r="E97">
        <v>8.0000000000000002E-3</v>
      </c>
      <c r="F97">
        <v>7.0000000000000001E-3</v>
      </c>
      <c r="G97">
        <f t="shared" si="26"/>
        <v>16</v>
      </c>
      <c r="H97" s="20">
        <f t="shared" si="27"/>
        <v>4.84</v>
      </c>
      <c r="I97">
        <f t="shared" si="28"/>
        <v>4.8</v>
      </c>
      <c r="J97" s="25">
        <f t="shared" si="29"/>
        <v>8</v>
      </c>
      <c r="K97" s="25">
        <f t="shared" si="30"/>
        <v>7</v>
      </c>
    </row>
    <row r="98" spans="1:11" x14ac:dyDescent="0.3">
      <c r="A98" s="90"/>
      <c r="B98">
        <v>1.7000000000000001E-2</v>
      </c>
      <c r="C98">
        <v>4.7600000000000003E-3</v>
      </c>
      <c r="D98">
        <v>4.7600000000000003E-3</v>
      </c>
      <c r="E98">
        <v>7.0000000000000001E-3</v>
      </c>
      <c r="F98">
        <v>7.0000000000000001E-3</v>
      </c>
      <c r="G98">
        <f t="shared" si="26"/>
        <v>17</v>
      </c>
      <c r="H98" s="20">
        <f t="shared" si="27"/>
        <v>4.7600000000000007</v>
      </c>
      <c r="I98">
        <f t="shared" si="28"/>
        <v>4.7600000000000007</v>
      </c>
      <c r="J98" s="25">
        <f t="shared" si="29"/>
        <v>7</v>
      </c>
      <c r="K98" s="25">
        <f t="shared" si="30"/>
        <v>7</v>
      </c>
    </row>
    <row r="99" spans="1:11" x14ac:dyDescent="0.3">
      <c r="A99" s="90"/>
      <c r="B99">
        <v>1.7999999999999999E-2</v>
      </c>
      <c r="C99">
        <v>4.7099999999999998E-3</v>
      </c>
      <c r="D99">
        <v>4.7400000000000003E-3</v>
      </c>
      <c r="E99">
        <v>7.0000000000000001E-3</v>
      </c>
      <c r="F99">
        <v>6.0000000000000001E-3</v>
      </c>
      <c r="G99">
        <f t="shared" si="26"/>
        <v>18</v>
      </c>
      <c r="H99" s="20">
        <f t="shared" si="27"/>
        <v>4.71</v>
      </c>
      <c r="I99">
        <f t="shared" si="28"/>
        <v>4.74</v>
      </c>
      <c r="J99" s="25">
        <f t="shared" si="29"/>
        <v>7</v>
      </c>
      <c r="K99" s="25">
        <f t="shared" si="30"/>
        <v>6</v>
      </c>
    </row>
    <row r="100" spans="1:11" x14ac:dyDescent="0.3">
      <c r="A100" s="90"/>
      <c r="B100">
        <v>1.9E-2</v>
      </c>
      <c r="C100">
        <v>4.6699999999999997E-3</v>
      </c>
      <c r="D100">
        <v>4.7499999999999999E-3</v>
      </c>
      <c r="E100">
        <v>6.0000000000000001E-3</v>
      </c>
      <c r="F100">
        <v>6.0000000000000001E-3</v>
      </c>
      <c r="G100">
        <f t="shared" si="26"/>
        <v>19</v>
      </c>
      <c r="H100" s="20">
        <f t="shared" si="27"/>
        <v>4.67</v>
      </c>
      <c r="I100">
        <f t="shared" si="28"/>
        <v>4.75</v>
      </c>
      <c r="J100" s="25">
        <f t="shared" si="29"/>
        <v>6</v>
      </c>
      <c r="K100" s="25">
        <f t="shared" si="30"/>
        <v>6</v>
      </c>
    </row>
    <row r="101" spans="1:11" x14ac:dyDescent="0.3">
      <c r="A101" s="90"/>
      <c r="B101">
        <v>0.02</v>
      </c>
      <c r="C101">
        <v>4.6499999999999996E-3</v>
      </c>
      <c r="D101">
        <v>4.7499999999999999E-3</v>
      </c>
      <c r="E101">
        <v>6.0000000000000001E-3</v>
      </c>
      <c r="F101">
        <v>6.0000000000000001E-3</v>
      </c>
      <c r="G101">
        <f t="shared" si="26"/>
        <v>20</v>
      </c>
      <c r="H101" s="20">
        <f t="shared" si="27"/>
        <v>4.6499999999999995</v>
      </c>
      <c r="I101">
        <f t="shared" si="28"/>
        <v>4.75</v>
      </c>
      <c r="J101" s="25">
        <f t="shared" si="29"/>
        <v>6</v>
      </c>
      <c r="K101" s="25">
        <f t="shared" si="30"/>
        <v>6</v>
      </c>
    </row>
    <row r="102" spans="1:11" x14ac:dyDescent="0.3">
      <c r="A102" s="90"/>
      <c r="B102">
        <v>2.1000000000000001E-2</v>
      </c>
      <c r="C102">
        <v>4.6299999999999996E-3</v>
      </c>
      <c r="D102">
        <v>4.7600000000000003E-3</v>
      </c>
      <c r="E102">
        <v>6.0000000000000001E-3</v>
      </c>
      <c r="F102">
        <v>5.0000000000000001E-3</v>
      </c>
      <c r="G102">
        <f t="shared" si="26"/>
        <v>21</v>
      </c>
      <c r="H102" s="20">
        <f t="shared" si="27"/>
        <v>4.63</v>
      </c>
      <c r="I102">
        <f t="shared" si="28"/>
        <v>4.7600000000000007</v>
      </c>
      <c r="J102" s="25">
        <f t="shared" si="29"/>
        <v>6</v>
      </c>
      <c r="K102" s="25">
        <f t="shared" si="30"/>
        <v>5</v>
      </c>
    </row>
    <row r="103" spans="1:11" x14ac:dyDescent="0.3">
      <c r="A103" s="90"/>
      <c r="B103">
        <v>2.1999999999999999E-2</v>
      </c>
      <c r="C103">
        <v>4.62E-3</v>
      </c>
      <c r="D103">
        <v>4.7299999999999998E-3</v>
      </c>
      <c r="E103">
        <v>5.0000000000000001E-3</v>
      </c>
      <c r="F103">
        <v>5.0000000000000001E-3</v>
      </c>
      <c r="G103">
        <f t="shared" si="26"/>
        <v>22</v>
      </c>
      <c r="H103" s="20">
        <f t="shared" si="27"/>
        <v>4.62</v>
      </c>
      <c r="I103">
        <f t="shared" si="28"/>
        <v>4.7299999999999995</v>
      </c>
      <c r="J103" s="25">
        <f t="shared" si="29"/>
        <v>5</v>
      </c>
      <c r="K103" s="25">
        <f t="shared" si="30"/>
        <v>5</v>
      </c>
    </row>
    <row r="104" spans="1:11" x14ac:dyDescent="0.3">
      <c r="A104" s="90"/>
      <c r="B104">
        <v>2.3E-2</v>
      </c>
      <c r="C104">
        <v>4.6100000000000004E-3</v>
      </c>
      <c r="D104">
        <v>4.7099999999999998E-3</v>
      </c>
      <c r="E104">
        <v>5.0000000000000001E-3</v>
      </c>
      <c r="F104">
        <v>4.0000000000000001E-3</v>
      </c>
      <c r="G104">
        <f t="shared" si="26"/>
        <v>23</v>
      </c>
      <c r="H104" s="20">
        <f t="shared" si="27"/>
        <v>4.6100000000000003</v>
      </c>
      <c r="I104">
        <f t="shared" si="28"/>
        <v>4.71</v>
      </c>
      <c r="J104" s="25">
        <f t="shared" si="29"/>
        <v>5</v>
      </c>
      <c r="K104" s="25">
        <f t="shared" si="30"/>
        <v>4</v>
      </c>
    </row>
    <row r="105" spans="1:11" x14ac:dyDescent="0.3">
      <c r="A105" s="90"/>
      <c r="B105">
        <v>2.4E-2</v>
      </c>
      <c r="C105">
        <v>4.5999999999999999E-3</v>
      </c>
      <c r="D105">
        <v>4.7000000000000002E-3</v>
      </c>
      <c r="E105">
        <v>5.0000000000000001E-3</v>
      </c>
      <c r="F105">
        <v>4.0000000000000001E-3</v>
      </c>
      <c r="G105">
        <f t="shared" si="26"/>
        <v>24</v>
      </c>
      <c r="H105" s="20">
        <f t="shared" si="27"/>
        <v>4.5999999999999996</v>
      </c>
      <c r="I105">
        <f t="shared" si="28"/>
        <v>4.7</v>
      </c>
      <c r="J105" s="25">
        <f t="shared" si="29"/>
        <v>5</v>
      </c>
      <c r="K105" s="25">
        <f t="shared" si="30"/>
        <v>4</v>
      </c>
    </row>
    <row r="106" spans="1:11" x14ac:dyDescent="0.3">
      <c r="A106" s="90"/>
      <c r="B106">
        <v>2.5000000000000001E-2</v>
      </c>
      <c r="C106">
        <v>4.5900000000000003E-3</v>
      </c>
      <c r="D106">
        <v>4.6800000000000001E-3</v>
      </c>
      <c r="E106">
        <v>6.0000000000000001E-3</v>
      </c>
      <c r="F106">
        <v>4.0000000000000001E-3</v>
      </c>
      <c r="G106">
        <f t="shared" si="26"/>
        <v>25</v>
      </c>
      <c r="H106" s="20">
        <f t="shared" si="27"/>
        <v>4.5900000000000007</v>
      </c>
      <c r="I106">
        <f t="shared" si="28"/>
        <v>4.68</v>
      </c>
      <c r="J106" s="25">
        <f t="shared" si="29"/>
        <v>6</v>
      </c>
      <c r="K106" s="25">
        <f t="shared" si="30"/>
        <v>4</v>
      </c>
    </row>
    <row r="107" spans="1:11" x14ac:dyDescent="0.3">
      <c r="A107" s="90"/>
      <c r="B107">
        <v>2.5999999999999999E-2</v>
      </c>
      <c r="C107">
        <v>4.5999999999999999E-3</v>
      </c>
      <c r="D107">
        <v>4.6499999999999996E-3</v>
      </c>
      <c r="E107">
        <v>6.0000000000000001E-3</v>
      </c>
      <c r="F107">
        <v>3.0000000000000001E-3</v>
      </c>
      <c r="G107">
        <f t="shared" si="26"/>
        <v>26</v>
      </c>
      <c r="H107" s="20">
        <f t="shared" si="27"/>
        <v>4.5999999999999996</v>
      </c>
      <c r="I107">
        <f t="shared" si="28"/>
        <v>4.6499999999999995</v>
      </c>
      <c r="J107" s="25">
        <f t="shared" si="29"/>
        <v>6</v>
      </c>
      <c r="K107" s="25">
        <f t="shared" si="30"/>
        <v>3</v>
      </c>
    </row>
    <row r="108" spans="1:11" x14ac:dyDescent="0.3">
      <c r="A108" s="90"/>
      <c r="B108">
        <v>2.7E-2</v>
      </c>
      <c r="C108">
        <v>4.64E-3</v>
      </c>
      <c r="D108">
        <v>4.6699999999999997E-3</v>
      </c>
      <c r="E108">
        <v>6.0000000000000001E-3</v>
      </c>
      <c r="F108">
        <v>2E-3</v>
      </c>
      <c r="G108">
        <f t="shared" ref="G108:G110" si="31">B108*1000</f>
        <v>27</v>
      </c>
      <c r="H108" s="20">
        <f t="shared" ref="H108:H110" si="32">C108*1000</f>
        <v>4.6399999999999997</v>
      </c>
      <c r="I108">
        <f t="shared" ref="I108:I110" si="33">D108*1000</f>
        <v>4.67</v>
      </c>
      <c r="J108" s="25">
        <f t="shared" ref="J108:J110" si="34">E108*1000</f>
        <v>6</v>
      </c>
      <c r="K108" s="25">
        <f t="shared" ref="K108:K110" si="35">F108*1000</f>
        <v>2</v>
      </c>
    </row>
    <row r="109" spans="1:11" x14ac:dyDescent="0.3">
      <c r="A109" s="90"/>
      <c r="B109">
        <v>2.8000000000000001E-2</v>
      </c>
      <c r="C109">
        <v>4.6800000000000001E-3</v>
      </c>
      <c r="D109">
        <v>4.6899999999999997E-3</v>
      </c>
      <c r="E109">
        <v>6.0000000000000001E-3</v>
      </c>
      <c r="F109">
        <v>2E-3</v>
      </c>
      <c r="G109">
        <f t="shared" si="31"/>
        <v>28</v>
      </c>
      <c r="H109" s="20">
        <f t="shared" si="32"/>
        <v>4.68</v>
      </c>
      <c r="I109">
        <f t="shared" si="33"/>
        <v>4.6899999999999995</v>
      </c>
      <c r="J109" s="25">
        <f t="shared" si="34"/>
        <v>6</v>
      </c>
      <c r="K109" s="25">
        <f t="shared" si="35"/>
        <v>2</v>
      </c>
    </row>
    <row r="110" spans="1:11" x14ac:dyDescent="0.3">
      <c r="A110" s="90"/>
      <c r="B110">
        <v>2.9000000000000001E-2</v>
      </c>
      <c r="C110">
        <v>4.7200000000000002E-3</v>
      </c>
      <c r="D110">
        <v>4.7099999999999998E-3</v>
      </c>
      <c r="E110">
        <v>6.0000000000000001E-3</v>
      </c>
      <c r="F110">
        <v>2E-3</v>
      </c>
      <c r="G110">
        <f t="shared" si="31"/>
        <v>29</v>
      </c>
      <c r="H110" s="20">
        <f t="shared" si="32"/>
        <v>4.7200000000000006</v>
      </c>
      <c r="I110">
        <f t="shared" si="33"/>
        <v>4.71</v>
      </c>
      <c r="J110" s="25">
        <f t="shared" si="34"/>
        <v>6</v>
      </c>
      <c r="K110" s="25">
        <f t="shared" si="35"/>
        <v>2</v>
      </c>
    </row>
    <row r="111" spans="1:11" x14ac:dyDescent="0.3">
      <c r="A111" s="90" t="s">
        <v>30</v>
      </c>
      <c r="B111" s="77" t="s">
        <v>29</v>
      </c>
      <c r="C111" s="77"/>
      <c r="D111" s="77"/>
      <c r="E111" s="77" t="s">
        <v>36</v>
      </c>
      <c r="F111" s="77"/>
      <c r="G111" s="77" t="s">
        <v>29</v>
      </c>
      <c r="H111" s="77"/>
      <c r="I111" s="77"/>
      <c r="J111" s="77" t="s">
        <v>36</v>
      </c>
      <c r="K111" s="77"/>
    </row>
    <row r="112" spans="1:11" x14ac:dyDescent="0.3">
      <c r="A112" s="90"/>
      <c r="B112" t="s">
        <v>28</v>
      </c>
      <c r="C112" t="s">
        <v>27</v>
      </c>
      <c r="D112" t="s">
        <v>8</v>
      </c>
      <c r="E112" t="s">
        <v>31</v>
      </c>
      <c r="F112" t="s">
        <v>8</v>
      </c>
      <c r="G112" t="s">
        <v>28</v>
      </c>
      <c r="H112" t="s">
        <v>27</v>
      </c>
      <c r="I112" t="s">
        <v>8</v>
      </c>
      <c r="J112" t="s">
        <v>31</v>
      </c>
      <c r="K112" t="s">
        <v>8</v>
      </c>
    </row>
    <row r="113" spans="1:11" x14ac:dyDescent="0.3">
      <c r="A113" s="90" t="s">
        <v>80</v>
      </c>
      <c r="B113">
        <v>0.01</v>
      </c>
      <c r="C113">
        <v>5.47E-3</v>
      </c>
      <c r="D113">
        <v>4.6499999999999996E-3</v>
      </c>
      <c r="E113">
        <v>1.2999999999999999E-2</v>
      </c>
      <c r="F113">
        <v>5.0000000000000001E-3</v>
      </c>
      <c r="G113">
        <f>B113*1000</f>
        <v>10</v>
      </c>
      <c r="H113">
        <f>C113*1000</f>
        <v>5.47</v>
      </c>
      <c r="I113">
        <f>D113*1000</f>
        <v>4.6499999999999995</v>
      </c>
      <c r="J113" s="25">
        <f>E113*1000</f>
        <v>13</v>
      </c>
      <c r="K113" s="25">
        <f>F113*1000</f>
        <v>5</v>
      </c>
    </row>
    <row r="114" spans="1:11" x14ac:dyDescent="0.3">
      <c r="A114" s="90"/>
      <c r="B114">
        <v>1.0999999999999999E-2</v>
      </c>
      <c r="C114">
        <v>5.3400000000000001E-3</v>
      </c>
      <c r="D114">
        <v>4.6499999999999996E-3</v>
      </c>
      <c r="E114">
        <v>1.2E-2</v>
      </c>
      <c r="F114">
        <v>4.0000000000000001E-3</v>
      </c>
      <c r="G114">
        <f t="shared" ref="G114:G129" si="36">B114*1000</f>
        <v>11</v>
      </c>
      <c r="H114">
        <f t="shared" ref="H114:H129" si="37">C114*1000</f>
        <v>5.34</v>
      </c>
      <c r="I114">
        <f t="shared" ref="I114:I129" si="38">D114*1000</f>
        <v>4.6499999999999995</v>
      </c>
      <c r="J114" s="25">
        <f t="shared" ref="J114:J129" si="39">E114*1000</f>
        <v>12</v>
      </c>
      <c r="K114" s="25">
        <f t="shared" ref="K114:K129" si="40">F114*1000</f>
        <v>4</v>
      </c>
    </row>
    <row r="115" spans="1:11" x14ac:dyDescent="0.3">
      <c r="A115" s="90"/>
      <c r="B115">
        <v>1.2E-2</v>
      </c>
      <c r="C115">
        <v>5.2100000000000002E-3</v>
      </c>
      <c r="D115">
        <v>4.6600000000000001E-3</v>
      </c>
      <c r="E115">
        <v>1.0999999999999999E-2</v>
      </c>
      <c r="F115">
        <v>4.0000000000000001E-3</v>
      </c>
      <c r="G115">
        <f t="shared" si="36"/>
        <v>12</v>
      </c>
      <c r="H115" s="20">
        <f t="shared" si="37"/>
        <v>5.21</v>
      </c>
      <c r="I115">
        <f t="shared" si="38"/>
        <v>4.66</v>
      </c>
      <c r="J115" s="25">
        <f t="shared" si="39"/>
        <v>11</v>
      </c>
      <c r="K115" s="25">
        <f t="shared" si="40"/>
        <v>4</v>
      </c>
    </row>
    <row r="116" spans="1:11" x14ac:dyDescent="0.3">
      <c r="A116" s="90"/>
      <c r="B116">
        <v>1.2999999999999999E-2</v>
      </c>
      <c r="C116">
        <v>5.0899999999999999E-3</v>
      </c>
      <c r="D116">
        <v>4.7000000000000002E-3</v>
      </c>
      <c r="E116">
        <v>0.01</v>
      </c>
      <c r="F116">
        <v>3.0000000000000001E-3</v>
      </c>
      <c r="G116">
        <f t="shared" si="36"/>
        <v>13</v>
      </c>
      <c r="H116" s="20">
        <f t="shared" si="37"/>
        <v>5.09</v>
      </c>
      <c r="I116">
        <f t="shared" si="38"/>
        <v>4.7</v>
      </c>
      <c r="J116" s="25">
        <f t="shared" si="39"/>
        <v>10</v>
      </c>
      <c r="K116" s="25">
        <f t="shared" si="40"/>
        <v>3</v>
      </c>
    </row>
    <row r="117" spans="1:11" x14ac:dyDescent="0.3">
      <c r="A117" s="90"/>
      <c r="B117">
        <v>1.4E-2</v>
      </c>
      <c r="C117">
        <v>4.9899999999999996E-3</v>
      </c>
      <c r="D117">
        <v>4.7400000000000003E-3</v>
      </c>
      <c r="E117">
        <v>0.01</v>
      </c>
      <c r="F117">
        <v>3.0000000000000001E-3</v>
      </c>
      <c r="G117">
        <f t="shared" si="36"/>
        <v>14</v>
      </c>
      <c r="H117" s="20">
        <f t="shared" si="37"/>
        <v>4.9899999999999993</v>
      </c>
      <c r="I117">
        <f t="shared" si="38"/>
        <v>4.74</v>
      </c>
      <c r="J117" s="25">
        <f t="shared" si="39"/>
        <v>10</v>
      </c>
      <c r="K117" s="25">
        <f t="shared" si="40"/>
        <v>3</v>
      </c>
    </row>
    <row r="118" spans="1:11" x14ac:dyDescent="0.3">
      <c r="A118" s="90"/>
      <c r="B118">
        <v>1.4999999999999999E-2</v>
      </c>
      <c r="C118">
        <v>4.8799999999999998E-3</v>
      </c>
      <c r="D118">
        <v>4.7800000000000004E-3</v>
      </c>
      <c r="E118">
        <v>8.9999999999999993E-3</v>
      </c>
      <c r="F118">
        <v>3.0000000000000001E-3</v>
      </c>
      <c r="G118">
        <f t="shared" si="36"/>
        <v>15</v>
      </c>
      <c r="H118" s="20">
        <f t="shared" si="37"/>
        <v>4.88</v>
      </c>
      <c r="I118">
        <f t="shared" si="38"/>
        <v>4.78</v>
      </c>
      <c r="J118" s="25">
        <f t="shared" si="39"/>
        <v>9</v>
      </c>
      <c r="K118" s="25">
        <f t="shared" si="40"/>
        <v>3</v>
      </c>
    </row>
    <row r="119" spans="1:11" x14ac:dyDescent="0.3">
      <c r="A119" s="90"/>
      <c r="B119">
        <v>1.6E-2</v>
      </c>
      <c r="C119">
        <v>4.79E-3</v>
      </c>
      <c r="D119">
        <v>4.8199999999999996E-3</v>
      </c>
      <c r="E119">
        <v>8.0000000000000002E-3</v>
      </c>
      <c r="F119">
        <v>3.0000000000000001E-3</v>
      </c>
      <c r="G119">
        <f t="shared" si="36"/>
        <v>16</v>
      </c>
      <c r="H119" s="20">
        <f t="shared" si="37"/>
        <v>4.79</v>
      </c>
      <c r="I119">
        <f t="shared" si="38"/>
        <v>4.8199999999999994</v>
      </c>
      <c r="J119" s="25">
        <f t="shared" si="39"/>
        <v>8</v>
      </c>
      <c r="K119" s="25">
        <f t="shared" si="40"/>
        <v>3</v>
      </c>
    </row>
    <row r="120" spans="1:11" x14ac:dyDescent="0.3">
      <c r="A120" s="90"/>
      <c r="B120">
        <v>1.7000000000000001E-2</v>
      </c>
      <c r="C120">
        <v>4.7000000000000002E-3</v>
      </c>
      <c r="D120">
        <v>4.8500000000000001E-3</v>
      </c>
      <c r="E120">
        <v>7.0000000000000001E-3</v>
      </c>
      <c r="F120">
        <v>3.0000000000000001E-3</v>
      </c>
      <c r="G120">
        <f t="shared" si="36"/>
        <v>17</v>
      </c>
      <c r="H120" s="20">
        <f t="shared" si="37"/>
        <v>4.7</v>
      </c>
      <c r="I120">
        <f t="shared" si="38"/>
        <v>4.8500000000000005</v>
      </c>
      <c r="J120" s="25">
        <f t="shared" si="39"/>
        <v>7</v>
      </c>
      <c r="K120" s="25">
        <f t="shared" si="40"/>
        <v>3</v>
      </c>
    </row>
    <row r="121" spans="1:11" x14ac:dyDescent="0.3">
      <c r="A121" s="90"/>
      <c r="B121">
        <v>1.7999999999999999E-2</v>
      </c>
      <c r="C121">
        <v>4.5999999999999999E-3</v>
      </c>
      <c r="D121">
        <v>4.8599999999999997E-3</v>
      </c>
      <c r="E121">
        <v>6.0000000000000001E-3</v>
      </c>
      <c r="F121">
        <v>3.0000000000000001E-3</v>
      </c>
      <c r="G121">
        <f t="shared" si="36"/>
        <v>18</v>
      </c>
      <c r="H121" s="20">
        <f t="shared" si="37"/>
        <v>4.5999999999999996</v>
      </c>
      <c r="I121">
        <f t="shared" si="38"/>
        <v>4.8599999999999994</v>
      </c>
      <c r="J121" s="25">
        <f t="shared" si="39"/>
        <v>6</v>
      </c>
      <c r="K121" s="25">
        <f t="shared" si="40"/>
        <v>3</v>
      </c>
    </row>
    <row r="122" spans="1:11" x14ac:dyDescent="0.3">
      <c r="A122" s="90"/>
      <c r="B122">
        <v>1.9E-2</v>
      </c>
      <c r="C122">
        <v>4.5300000000000002E-3</v>
      </c>
      <c r="D122">
        <v>4.8900000000000002E-3</v>
      </c>
      <c r="E122">
        <v>6.0000000000000001E-3</v>
      </c>
      <c r="F122">
        <v>3.0000000000000001E-3</v>
      </c>
      <c r="G122">
        <f t="shared" si="36"/>
        <v>19</v>
      </c>
      <c r="H122" s="20">
        <f t="shared" si="37"/>
        <v>4.53</v>
      </c>
      <c r="I122">
        <f t="shared" si="38"/>
        <v>4.8900000000000006</v>
      </c>
      <c r="J122" s="25">
        <f t="shared" si="39"/>
        <v>6</v>
      </c>
      <c r="K122" s="25">
        <f t="shared" si="40"/>
        <v>3</v>
      </c>
    </row>
    <row r="123" spans="1:11" x14ac:dyDescent="0.3">
      <c r="A123" s="90"/>
      <c r="B123">
        <v>0.02</v>
      </c>
      <c r="C123">
        <v>4.47E-3</v>
      </c>
      <c r="D123">
        <v>4.9100000000000003E-3</v>
      </c>
      <c r="E123">
        <v>5.0000000000000001E-3</v>
      </c>
      <c r="F123">
        <v>3.0000000000000001E-3</v>
      </c>
      <c r="G123">
        <f t="shared" si="36"/>
        <v>20</v>
      </c>
      <c r="H123" s="20">
        <f t="shared" si="37"/>
        <v>4.47</v>
      </c>
      <c r="I123">
        <f t="shared" si="38"/>
        <v>4.91</v>
      </c>
      <c r="J123" s="25">
        <f t="shared" si="39"/>
        <v>5</v>
      </c>
      <c r="K123" s="25">
        <f t="shared" si="40"/>
        <v>3</v>
      </c>
    </row>
    <row r="124" spans="1:11" x14ac:dyDescent="0.3">
      <c r="A124" s="90"/>
      <c r="B124">
        <v>2.1000000000000001E-2</v>
      </c>
      <c r="C124">
        <v>4.3400000000000001E-3</v>
      </c>
      <c r="D124">
        <v>4.8199999999999996E-3</v>
      </c>
      <c r="E124">
        <v>5.0000000000000001E-3</v>
      </c>
      <c r="F124">
        <v>2E-3</v>
      </c>
      <c r="G124">
        <f t="shared" si="36"/>
        <v>21</v>
      </c>
      <c r="H124" s="20">
        <f t="shared" si="37"/>
        <v>4.34</v>
      </c>
      <c r="I124">
        <f t="shared" si="38"/>
        <v>4.8199999999999994</v>
      </c>
      <c r="J124" s="25">
        <f t="shared" si="39"/>
        <v>5</v>
      </c>
      <c r="K124" s="25">
        <f t="shared" si="40"/>
        <v>2</v>
      </c>
    </row>
    <row r="125" spans="1:11" x14ac:dyDescent="0.3">
      <c r="A125" s="90"/>
      <c r="B125">
        <v>2.1999999999999999E-2</v>
      </c>
      <c r="C125">
        <v>4.2199999999999998E-3</v>
      </c>
      <c r="D125">
        <v>4.6899999999999997E-3</v>
      </c>
      <c r="E125">
        <v>4.0000000000000001E-3</v>
      </c>
      <c r="F125">
        <v>2E-3</v>
      </c>
      <c r="G125">
        <f t="shared" si="36"/>
        <v>22</v>
      </c>
      <c r="H125" s="20">
        <f t="shared" si="37"/>
        <v>4.22</v>
      </c>
      <c r="I125">
        <f t="shared" si="38"/>
        <v>4.6899999999999995</v>
      </c>
      <c r="J125" s="25">
        <f t="shared" si="39"/>
        <v>4</v>
      </c>
      <c r="K125" s="25">
        <f t="shared" si="40"/>
        <v>2</v>
      </c>
    </row>
    <row r="126" spans="1:11" x14ac:dyDescent="0.3">
      <c r="A126" s="90"/>
      <c r="B126">
        <v>2.3E-2</v>
      </c>
      <c r="C126">
        <v>4.15E-3</v>
      </c>
      <c r="D126">
        <v>4.64E-3</v>
      </c>
      <c r="E126">
        <v>4.0000000000000001E-3</v>
      </c>
      <c r="F126">
        <v>2E-3</v>
      </c>
      <c r="G126">
        <f t="shared" si="36"/>
        <v>23</v>
      </c>
      <c r="H126" s="20">
        <f t="shared" si="37"/>
        <v>4.1500000000000004</v>
      </c>
      <c r="I126">
        <f t="shared" si="38"/>
        <v>4.6399999999999997</v>
      </c>
      <c r="J126" s="25">
        <f t="shared" si="39"/>
        <v>4</v>
      </c>
      <c r="K126" s="25">
        <f t="shared" si="40"/>
        <v>2</v>
      </c>
    </row>
    <row r="127" spans="1:11" x14ac:dyDescent="0.3">
      <c r="A127" s="90"/>
      <c r="B127">
        <v>2.4E-2</v>
      </c>
      <c r="C127">
        <v>4.1399999999999996E-3</v>
      </c>
      <c r="D127">
        <v>4.6499999999999996E-3</v>
      </c>
      <c r="E127">
        <v>3.0000000000000001E-3</v>
      </c>
      <c r="F127">
        <v>1E-3</v>
      </c>
      <c r="G127">
        <f t="shared" si="36"/>
        <v>24</v>
      </c>
      <c r="H127" s="20">
        <f t="shared" si="37"/>
        <v>4.1399999999999997</v>
      </c>
      <c r="I127">
        <f t="shared" si="38"/>
        <v>4.6499999999999995</v>
      </c>
      <c r="J127" s="25">
        <f t="shared" si="39"/>
        <v>3</v>
      </c>
      <c r="K127" s="25">
        <f t="shared" si="40"/>
        <v>1</v>
      </c>
    </row>
    <row r="128" spans="1:11" x14ac:dyDescent="0.3">
      <c r="A128" s="90"/>
      <c r="B128">
        <v>2.5000000000000001E-2</v>
      </c>
      <c r="C128">
        <v>4.1399999999999996E-3</v>
      </c>
      <c r="D128">
        <v>4.6499999999999996E-3</v>
      </c>
      <c r="E128">
        <v>3.0000000000000001E-3</v>
      </c>
      <c r="F128">
        <v>1E-3</v>
      </c>
      <c r="G128">
        <f t="shared" si="36"/>
        <v>25</v>
      </c>
      <c r="H128" s="20">
        <f t="shared" si="37"/>
        <v>4.1399999999999997</v>
      </c>
      <c r="I128">
        <f t="shared" si="38"/>
        <v>4.6499999999999995</v>
      </c>
      <c r="J128" s="25">
        <f t="shared" si="39"/>
        <v>3</v>
      </c>
      <c r="K128" s="25">
        <f t="shared" si="40"/>
        <v>1</v>
      </c>
    </row>
    <row r="129" spans="1:11" x14ac:dyDescent="0.3">
      <c r="A129" s="90"/>
      <c r="B129">
        <v>2.5999999999999999E-2</v>
      </c>
      <c r="C129">
        <v>4.15E-3</v>
      </c>
      <c r="D129">
        <v>4.6499999999999996E-3</v>
      </c>
      <c r="E129">
        <v>3.0000000000000001E-3</v>
      </c>
      <c r="F129">
        <v>1E-3</v>
      </c>
      <c r="G129">
        <f t="shared" si="36"/>
        <v>26</v>
      </c>
      <c r="H129" s="20">
        <f t="shared" si="37"/>
        <v>4.1500000000000004</v>
      </c>
      <c r="I129">
        <f t="shared" si="38"/>
        <v>4.6499999999999995</v>
      </c>
      <c r="J129" s="25">
        <f t="shared" si="39"/>
        <v>3</v>
      </c>
      <c r="K129" s="25">
        <f t="shared" si="40"/>
        <v>1</v>
      </c>
    </row>
    <row r="130" spans="1:11" x14ac:dyDescent="0.3">
      <c r="A130" s="90"/>
      <c r="B130">
        <v>2.7E-2</v>
      </c>
      <c r="C130">
        <v>4.1460000000000004E-3</v>
      </c>
      <c r="D130">
        <v>4.6600000000000001E-3</v>
      </c>
      <c r="E130">
        <v>3.0000000000000001E-3</v>
      </c>
      <c r="F130">
        <v>1E-3</v>
      </c>
      <c r="G130">
        <f t="shared" ref="G130:G132" si="41">B130*1000</f>
        <v>27</v>
      </c>
      <c r="H130" s="20">
        <f t="shared" ref="H130:H132" si="42">C130*1000</f>
        <v>4.1460000000000008</v>
      </c>
      <c r="I130">
        <f t="shared" ref="I130:I132" si="43">D130*1000</f>
        <v>4.66</v>
      </c>
      <c r="J130" s="25">
        <f t="shared" ref="J130:J132" si="44">E130*1000</f>
        <v>3</v>
      </c>
      <c r="K130" s="25">
        <f t="shared" ref="K130:K132" si="45">F130*1000</f>
        <v>1</v>
      </c>
    </row>
    <row r="131" spans="1:11" x14ac:dyDescent="0.3">
      <c r="A131" s="90"/>
      <c r="B131">
        <v>2.8000000000000001E-2</v>
      </c>
      <c r="C131">
        <v>4.1469999999999996E-3</v>
      </c>
      <c r="D131">
        <v>4.6699999999999997E-3</v>
      </c>
      <c r="E131">
        <v>3.0000000000000001E-3</v>
      </c>
      <c r="F131">
        <v>1E-3</v>
      </c>
      <c r="G131">
        <f t="shared" si="41"/>
        <v>28</v>
      </c>
      <c r="H131" s="20">
        <f t="shared" si="42"/>
        <v>4.1469999999999994</v>
      </c>
      <c r="I131">
        <f t="shared" si="43"/>
        <v>4.67</v>
      </c>
      <c r="J131" s="25">
        <f t="shared" si="44"/>
        <v>3</v>
      </c>
      <c r="K131" s="25">
        <f t="shared" si="45"/>
        <v>1</v>
      </c>
    </row>
    <row r="132" spans="1:11" x14ac:dyDescent="0.3">
      <c r="A132" s="90"/>
      <c r="B132">
        <v>2.9000000000000001E-2</v>
      </c>
      <c r="C132">
        <v>4.1469999999999996E-3</v>
      </c>
      <c r="D132">
        <v>4.6499999999999996E-3</v>
      </c>
      <c r="E132">
        <v>3.0000000000000001E-3</v>
      </c>
      <c r="F132">
        <v>1E-3</v>
      </c>
      <c r="G132">
        <f t="shared" si="41"/>
        <v>29</v>
      </c>
      <c r="H132" s="20">
        <f t="shared" si="42"/>
        <v>4.1469999999999994</v>
      </c>
      <c r="I132">
        <f t="shared" si="43"/>
        <v>4.6499999999999995</v>
      </c>
      <c r="J132" s="25">
        <f t="shared" si="44"/>
        <v>3</v>
      </c>
      <c r="K132" s="25">
        <f t="shared" si="45"/>
        <v>1</v>
      </c>
    </row>
  </sheetData>
  <mergeCells count="36">
    <mergeCell ref="A3:A22"/>
    <mergeCell ref="A45:A46"/>
    <mergeCell ref="B45:D45"/>
    <mergeCell ref="E45:F45"/>
    <mergeCell ref="G45:I45"/>
    <mergeCell ref="A25:A44"/>
    <mergeCell ref="B23:D23"/>
    <mergeCell ref="E23:F23"/>
    <mergeCell ref="G23:I23"/>
    <mergeCell ref="A1:A2"/>
    <mergeCell ref="B1:D1"/>
    <mergeCell ref="E1:F1"/>
    <mergeCell ref="G1:I1"/>
    <mergeCell ref="J1:K1"/>
    <mergeCell ref="J23:K23"/>
    <mergeCell ref="A23:A24"/>
    <mergeCell ref="A69:A88"/>
    <mergeCell ref="J45:K45"/>
    <mergeCell ref="A47:A66"/>
    <mergeCell ref="A67:A68"/>
    <mergeCell ref="B67:D67"/>
    <mergeCell ref="A89:A90"/>
    <mergeCell ref="B89:D89"/>
    <mergeCell ref="E89:F89"/>
    <mergeCell ref="G89:I89"/>
    <mergeCell ref="G111:I111"/>
    <mergeCell ref="J111:K111"/>
    <mergeCell ref="E67:F67"/>
    <mergeCell ref="G67:I67"/>
    <mergeCell ref="J67:K67"/>
    <mergeCell ref="J89:K89"/>
    <mergeCell ref="A113:A132"/>
    <mergeCell ref="A91:A110"/>
    <mergeCell ref="A111:A112"/>
    <mergeCell ref="B111:D111"/>
    <mergeCell ref="E111:F11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370B-3999-4EB1-B90E-3C60E68E98FA}">
  <dimension ref="A1:K110"/>
  <sheetViews>
    <sheetView topLeftCell="C1" workbookViewId="0">
      <selection activeCell="T18" sqref="T18"/>
    </sheetView>
  </sheetViews>
  <sheetFormatPr defaultRowHeight="14.4" x14ac:dyDescent="0.3"/>
  <cols>
    <col min="1" max="1" width="12.88671875" customWidth="1"/>
    <col min="2" max="2" width="13.6640625" customWidth="1"/>
    <col min="3" max="3" width="11.5546875" customWidth="1"/>
    <col min="4" max="4" width="8" bestFit="1" customWidth="1"/>
    <col min="5" max="6" width="6.5546875" bestFit="1" customWidth="1"/>
    <col min="7" max="7" width="16.88671875" customWidth="1"/>
    <col min="8" max="8" width="12.44140625" customWidth="1"/>
    <col min="9" max="9" width="19.88671875" customWidth="1"/>
    <col min="10" max="10" width="13.109375" customWidth="1"/>
    <col min="11" max="11" width="16.109375" customWidth="1"/>
  </cols>
  <sheetData>
    <row r="1" spans="1:11" x14ac:dyDescent="0.3">
      <c r="A1" s="77" t="s">
        <v>30</v>
      </c>
      <c r="B1" s="77" t="s">
        <v>29</v>
      </c>
      <c r="C1" s="77"/>
      <c r="D1" s="77"/>
      <c r="E1" s="106" t="s">
        <v>36</v>
      </c>
      <c r="F1" s="106"/>
      <c r="G1" s="106" t="s">
        <v>29</v>
      </c>
      <c r="H1" s="106"/>
      <c r="I1" s="106"/>
      <c r="J1" s="77" t="s">
        <v>36</v>
      </c>
      <c r="K1" s="77"/>
    </row>
    <row r="2" spans="1:11" x14ac:dyDescent="0.3">
      <c r="A2" s="77"/>
      <c r="B2" t="s">
        <v>28</v>
      </c>
      <c r="C2" t="s">
        <v>27</v>
      </c>
      <c r="D2" t="s">
        <v>8</v>
      </c>
      <c r="E2" t="s">
        <v>31</v>
      </c>
      <c r="F2" t="s">
        <v>8</v>
      </c>
      <c r="G2" t="s">
        <v>28</v>
      </c>
      <c r="H2" t="s">
        <v>27</v>
      </c>
      <c r="I2" t="s">
        <v>8</v>
      </c>
      <c r="J2" t="s">
        <v>31</v>
      </c>
      <c r="K2" t="s">
        <v>8</v>
      </c>
    </row>
    <row r="3" spans="1:11" x14ac:dyDescent="0.3">
      <c r="A3" s="90" t="s">
        <v>75</v>
      </c>
      <c r="B3">
        <v>0.01</v>
      </c>
      <c r="C3">
        <v>5.7499999999999999E-3</v>
      </c>
      <c r="D3">
        <v>4.4600000000000004E-3</v>
      </c>
      <c r="E3">
        <v>1.0999999999999999E-2</v>
      </c>
      <c r="F3">
        <v>7.0000000000000001E-3</v>
      </c>
      <c r="G3">
        <f>B3*1000</f>
        <v>10</v>
      </c>
      <c r="H3">
        <f>C3*1000</f>
        <v>5.75</v>
      </c>
      <c r="I3">
        <f>D3*1000</f>
        <v>4.4600000000000009</v>
      </c>
      <c r="J3" s="25">
        <f>E3*1000</f>
        <v>11</v>
      </c>
      <c r="K3" s="25">
        <f>F3*1000</f>
        <v>7</v>
      </c>
    </row>
    <row r="4" spans="1:11" x14ac:dyDescent="0.3">
      <c r="A4" s="90"/>
      <c r="B4">
        <v>1.0999999999999999E-2</v>
      </c>
      <c r="C4">
        <v>5.6499999999999996E-3</v>
      </c>
      <c r="D4">
        <v>4.45E-3</v>
      </c>
      <c r="E4">
        <v>1.0999999999999999E-2</v>
      </c>
      <c r="F4">
        <v>7.0000000000000001E-3</v>
      </c>
      <c r="G4">
        <f t="shared" ref="G4:K22" si="0">B4*1000</f>
        <v>11</v>
      </c>
      <c r="H4">
        <f t="shared" si="0"/>
        <v>5.6499999999999995</v>
      </c>
      <c r="I4">
        <f t="shared" si="0"/>
        <v>4.45</v>
      </c>
      <c r="J4" s="25">
        <f t="shared" si="0"/>
        <v>11</v>
      </c>
      <c r="K4" s="25">
        <f t="shared" si="0"/>
        <v>7</v>
      </c>
    </row>
    <row r="5" spans="1:11" x14ac:dyDescent="0.3">
      <c r="A5" s="90"/>
      <c r="B5">
        <v>1.2E-2</v>
      </c>
      <c r="C5">
        <v>5.5300000000000002E-3</v>
      </c>
      <c r="D5">
        <v>4.3800000000000002E-3</v>
      </c>
      <c r="E5">
        <v>0.01</v>
      </c>
      <c r="F5">
        <v>7.0000000000000001E-3</v>
      </c>
      <c r="G5">
        <f t="shared" si="0"/>
        <v>12</v>
      </c>
      <c r="H5">
        <f t="shared" si="0"/>
        <v>5.53</v>
      </c>
      <c r="I5">
        <f t="shared" si="0"/>
        <v>4.38</v>
      </c>
      <c r="J5" s="25">
        <f t="shared" si="0"/>
        <v>10</v>
      </c>
      <c r="K5" s="25">
        <f t="shared" si="0"/>
        <v>7</v>
      </c>
    </row>
    <row r="6" spans="1:11" x14ac:dyDescent="0.3">
      <c r="A6" s="90"/>
      <c r="B6">
        <v>1.2999999999999999E-2</v>
      </c>
      <c r="C6">
        <v>5.4400000000000004E-3</v>
      </c>
      <c r="D6">
        <v>4.3800000000000002E-3</v>
      </c>
      <c r="E6">
        <v>8.9999999999999993E-3</v>
      </c>
      <c r="F6">
        <v>7.0000000000000001E-3</v>
      </c>
      <c r="G6">
        <f t="shared" si="0"/>
        <v>13</v>
      </c>
      <c r="H6">
        <f t="shared" si="0"/>
        <v>5.44</v>
      </c>
      <c r="I6">
        <f t="shared" si="0"/>
        <v>4.38</v>
      </c>
      <c r="J6" s="25">
        <f t="shared" si="0"/>
        <v>9</v>
      </c>
      <c r="K6" s="25">
        <f t="shared" si="0"/>
        <v>7</v>
      </c>
    </row>
    <row r="7" spans="1:11" x14ac:dyDescent="0.3">
      <c r="A7" s="90"/>
      <c r="B7">
        <v>1.4E-2</v>
      </c>
      <c r="C7">
        <v>5.3499999999999997E-3</v>
      </c>
      <c r="D7">
        <v>4.3699999999999998E-3</v>
      </c>
      <c r="E7">
        <v>8.0000000000000002E-3</v>
      </c>
      <c r="F7">
        <v>7.0000000000000001E-3</v>
      </c>
      <c r="G7">
        <f t="shared" si="0"/>
        <v>14</v>
      </c>
      <c r="H7">
        <f t="shared" si="0"/>
        <v>5.35</v>
      </c>
      <c r="I7">
        <f t="shared" si="0"/>
        <v>4.37</v>
      </c>
      <c r="J7" s="25">
        <f t="shared" si="0"/>
        <v>8</v>
      </c>
      <c r="K7" s="25">
        <f t="shared" si="0"/>
        <v>7</v>
      </c>
    </row>
    <row r="8" spans="1:11" x14ac:dyDescent="0.3">
      <c r="A8" s="90"/>
      <c r="B8">
        <v>1.4999999999999999E-2</v>
      </c>
      <c r="C8">
        <v>5.28E-3</v>
      </c>
      <c r="D8">
        <v>4.4000000000000003E-3</v>
      </c>
      <c r="E8">
        <v>7.0000000000000001E-3</v>
      </c>
      <c r="F8">
        <v>7.0000000000000001E-3</v>
      </c>
      <c r="G8">
        <f t="shared" si="0"/>
        <v>15</v>
      </c>
      <c r="H8">
        <f t="shared" si="0"/>
        <v>5.28</v>
      </c>
      <c r="I8">
        <f t="shared" si="0"/>
        <v>4.4000000000000004</v>
      </c>
      <c r="J8" s="25">
        <f t="shared" si="0"/>
        <v>7</v>
      </c>
      <c r="K8" s="25">
        <f t="shared" si="0"/>
        <v>7</v>
      </c>
    </row>
    <row r="9" spans="1:11" x14ac:dyDescent="0.3">
      <c r="A9" s="90"/>
      <c r="B9">
        <v>1.6E-2</v>
      </c>
      <c r="C9">
        <v>5.1999999999999998E-3</v>
      </c>
      <c r="D9">
        <v>4.3699999999999998E-3</v>
      </c>
      <c r="E9">
        <v>7.0000000000000001E-3</v>
      </c>
      <c r="F9">
        <v>6.0000000000000001E-3</v>
      </c>
      <c r="G9">
        <f t="shared" si="0"/>
        <v>16</v>
      </c>
      <c r="H9">
        <f t="shared" si="0"/>
        <v>5.2</v>
      </c>
      <c r="I9">
        <f t="shared" si="0"/>
        <v>4.37</v>
      </c>
      <c r="J9" s="25">
        <f t="shared" si="0"/>
        <v>7</v>
      </c>
      <c r="K9" s="25">
        <f t="shared" si="0"/>
        <v>6</v>
      </c>
    </row>
    <row r="10" spans="1:11" x14ac:dyDescent="0.3">
      <c r="A10" s="90"/>
      <c r="B10">
        <v>1.7000000000000001E-2</v>
      </c>
      <c r="C10">
        <v>5.1500000000000001E-3</v>
      </c>
      <c r="D10">
        <v>4.3899999999999998E-3</v>
      </c>
      <c r="E10">
        <v>6.0000000000000001E-3</v>
      </c>
      <c r="F10">
        <v>6.0000000000000001E-3</v>
      </c>
      <c r="G10">
        <f t="shared" si="0"/>
        <v>17</v>
      </c>
      <c r="H10">
        <f t="shared" si="0"/>
        <v>5.15</v>
      </c>
      <c r="I10">
        <f t="shared" si="0"/>
        <v>4.3899999999999997</v>
      </c>
      <c r="J10" s="25">
        <f t="shared" si="0"/>
        <v>6</v>
      </c>
      <c r="K10" s="25">
        <f t="shared" si="0"/>
        <v>6</v>
      </c>
    </row>
    <row r="11" spans="1:11" x14ac:dyDescent="0.3">
      <c r="A11" s="90"/>
      <c r="B11">
        <v>1.7999999999999999E-2</v>
      </c>
      <c r="C11">
        <v>5.11E-3</v>
      </c>
      <c r="D11">
        <v>4.4099999999999999E-3</v>
      </c>
      <c r="E11">
        <v>5.0000000000000001E-3</v>
      </c>
      <c r="F11">
        <v>6.0000000000000001E-3</v>
      </c>
      <c r="G11">
        <f t="shared" si="0"/>
        <v>18</v>
      </c>
      <c r="H11">
        <f t="shared" si="0"/>
        <v>5.1100000000000003</v>
      </c>
      <c r="I11">
        <f t="shared" si="0"/>
        <v>4.41</v>
      </c>
      <c r="J11" s="25">
        <f t="shared" si="0"/>
        <v>5</v>
      </c>
      <c r="K11" s="25">
        <f t="shared" si="0"/>
        <v>6</v>
      </c>
    </row>
    <row r="12" spans="1:11" x14ac:dyDescent="0.3">
      <c r="A12" s="90"/>
      <c r="B12">
        <v>1.9E-2</v>
      </c>
      <c r="C12">
        <v>5.0899999999999999E-3</v>
      </c>
      <c r="D12">
        <v>4.4200000000000003E-3</v>
      </c>
      <c r="E12">
        <v>5.0000000000000001E-3</v>
      </c>
      <c r="F12">
        <v>6.0000000000000001E-3</v>
      </c>
      <c r="G12">
        <f t="shared" si="0"/>
        <v>19</v>
      </c>
      <c r="H12">
        <f t="shared" si="0"/>
        <v>5.09</v>
      </c>
      <c r="I12">
        <f t="shared" si="0"/>
        <v>4.42</v>
      </c>
      <c r="J12" s="25">
        <f t="shared" si="0"/>
        <v>5</v>
      </c>
      <c r="K12" s="25">
        <f t="shared" si="0"/>
        <v>6</v>
      </c>
    </row>
    <row r="13" spans="1:11" x14ac:dyDescent="0.3">
      <c r="A13" s="90"/>
      <c r="B13">
        <v>0.02</v>
      </c>
      <c r="C13">
        <v>5.0699999999999999E-3</v>
      </c>
      <c r="D13">
        <v>4.4299999999999999E-3</v>
      </c>
      <c r="E13">
        <v>5.0000000000000001E-3</v>
      </c>
      <c r="F13">
        <v>5.0000000000000001E-3</v>
      </c>
      <c r="G13">
        <f t="shared" si="0"/>
        <v>20</v>
      </c>
      <c r="H13">
        <f t="shared" si="0"/>
        <v>5.07</v>
      </c>
      <c r="I13">
        <f t="shared" si="0"/>
        <v>4.43</v>
      </c>
      <c r="J13" s="25">
        <f t="shared" si="0"/>
        <v>5</v>
      </c>
      <c r="K13" s="25">
        <f t="shared" si="0"/>
        <v>5</v>
      </c>
    </row>
    <row r="14" spans="1:11" x14ac:dyDescent="0.3">
      <c r="A14" s="90"/>
      <c r="B14">
        <v>2.1000000000000001E-2</v>
      </c>
      <c r="C14">
        <v>5.0499999999999998E-3</v>
      </c>
      <c r="D14">
        <v>4.4299999999999999E-3</v>
      </c>
      <c r="E14">
        <v>5.0000000000000001E-3</v>
      </c>
      <c r="F14">
        <v>5.0000000000000001E-3</v>
      </c>
      <c r="G14">
        <f t="shared" si="0"/>
        <v>21</v>
      </c>
      <c r="H14">
        <f t="shared" si="0"/>
        <v>5.05</v>
      </c>
      <c r="I14">
        <f t="shared" si="0"/>
        <v>4.43</v>
      </c>
      <c r="J14" s="25">
        <f t="shared" si="0"/>
        <v>5</v>
      </c>
      <c r="K14" s="25">
        <f t="shared" si="0"/>
        <v>5</v>
      </c>
    </row>
    <row r="15" spans="1:11" x14ac:dyDescent="0.3">
      <c r="A15" s="90"/>
      <c r="B15">
        <v>2.1999999999999999E-2</v>
      </c>
      <c r="C15">
        <v>5.0400000000000002E-3</v>
      </c>
      <c r="D15">
        <v>4.4299999999999999E-3</v>
      </c>
      <c r="E15">
        <v>4.0000000000000001E-3</v>
      </c>
      <c r="F15">
        <v>5.0000000000000001E-3</v>
      </c>
      <c r="G15">
        <f t="shared" si="0"/>
        <v>22</v>
      </c>
      <c r="H15">
        <f t="shared" si="0"/>
        <v>5.04</v>
      </c>
      <c r="I15">
        <f t="shared" si="0"/>
        <v>4.43</v>
      </c>
      <c r="J15" s="25">
        <f t="shared" si="0"/>
        <v>4</v>
      </c>
      <c r="K15" s="25">
        <f t="shared" si="0"/>
        <v>5</v>
      </c>
    </row>
    <row r="16" spans="1:11" x14ac:dyDescent="0.3">
      <c r="A16" s="90"/>
      <c r="B16">
        <v>2.3E-2</v>
      </c>
      <c r="C16">
        <v>5.0299999999999997E-3</v>
      </c>
      <c r="D16">
        <v>4.4200000000000003E-3</v>
      </c>
      <c r="E16">
        <v>4.0000000000000001E-3</v>
      </c>
      <c r="F16">
        <v>4.0000000000000001E-3</v>
      </c>
      <c r="G16">
        <f t="shared" si="0"/>
        <v>23</v>
      </c>
      <c r="H16">
        <f t="shared" si="0"/>
        <v>5.0299999999999994</v>
      </c>
      <c r="I16">
        <f t="shared" si="0"/>
        <v>4.42</v>
      </c>
      <c r="J16" s="25">
        <f t="shared" si="0"/>
        <v>4</v>
      </c>
      <c r="K16" s="25">
        <f t="shared" si="0"/>
        <v>4</v>
      </c>
    </row>
    <row r="17" spans="1:11" x14ac:dyDescent="0.3">
      <c r="A17" s="90"/>
      <c r="B17">
        <v>2.4E-2</v>
      </c>
      <c r="C17">
        <v>5.0899999999999999E-3</v>
      </c>
      <c r="D17">
        <v>4.4099999999999999E-3</v>
      </c>
      <c r="E17">
        <v>4.0000000000000001E-3</v>
      </c>
      <c r="F17">
        <v>4.0000000000000001E-3</v>
      </c>
      <c r="G17">
        <f t="shared" si="0"/>
        <v>24</v>
      </c>
      <c r="H17">
        <f t="shared" si="0"/>
        <v>5.09</v>
      </c>
      <c r="I17">
        <f t="shared" si="0"/>
        <v>4.41</v>
      </c>
      <c r="J17" s="25">
        <f t="shared" si="0"/>
        <v>4</v>
      </c>
      <c r="K17" s="25">
        <f t="shared" si="0"/>
        <v>4</v>
      </c>
    </row>
    <row r="18" spans="1:11" x14ac:dyDescent="0.3">
      <c r="A18" s="90"/>
      <c r="B18">
        <v>2.5000000000000001E-2</v>
      </c>
      <c r="C18">
        <v>5.1000000000000004E-3</v>
      </c>
      <c r="D18">
        <v>4.3800000000000002E-3</v>
      </c>
      <c r="E18">
        <v>5.0000000000000001E-3</v>
      </c>
      <c r="F18">
        <v>3.0000000000000001E-3</v>
      </c>
      <c r="G18">
        <f t="shared" si="0"/>
        <v>25</v>
      </c>
      <c r="H18">
        <f t="shared" si="0"/>
        <v>5.1000000000000005</v>
      </c>
      <c r="I18">
        <f t="shared" si="0"/>
        <v>4.38</v>
      </c>
      <c r="J18" s="25">
        <f t="shared" si="0"/>
        <v>5</v>
      </c>
      <c r="K18" s="25">
        <f t="shared" si="0"/>
        <v>3</v>
      </c>
    </row>
    <row r="19" spans="1:11" x14ac:dyDescent="0.3">
      <c r="A19" s="90"/>
      <c r="B19">
        <v>2.5999999999999999E-2</v>
      </c>
      <c r="C19">
        <v>5.1200000000000004E-3</v>
      </c>
      <c r="D19">
        <v>4.3699999999999998E-3</v>
      </c>
      <c r="E19">
        <v>6.0000000000000001E-3</v>
      </c>
      <c r="F19">
        <v>3.0000000000000001E-3</v>
      </c>
      <c r="G19">
        <f t="shared" si="0"/>
        <v>26</v>
      </c>
      <c r="H19">
        <f t="shared" si="0"/>
        <v>5.12</v>
      </c>
      <c r="I19">
        <f t="shared" si="0"/>
        <v>4.37</v>
      </c>
      <c r="J19" s="25">
        <f>E19*1000</f>
        <v>6</v>
      </c>
      <c r="K19" s="25">
        <f t="shared" si="0"/>
        <v>3</v>
      </c>
    </row>
    <row r="20" spans="1:11" x14ac:dyDescent="0.3">
      <c r="A20" s="90"/>
      <c r="B20">
        <v>2.7E-2</v>
      </c>
      <c r="C20" s="43">
        <v>5.1799999999999997E-3</v>
      </c>
      <c r="D20">
        <v>4.3466666666666697E-3</v>
      </c>
      <c r="E20">
        <v>6.0000000000000001E-3</v>
      </c>
      <c r="F20">
        <v>2.3333333333333301E-3</v>
      </c>
      <c r="G20">
        <f t="shared" si="0"/>
        <v>27</v>
      </c>
      <c r="H20" s="25">
        <f t="shared" si="0"/>
        <v>5.18</v>
      </c>
      <c r="I20" s="25">
        <f t="shared" si="0"/>
        <v>4.3466666666666693</v>
      </c>
      <c r="J20" s="25">
        <f>E20*1000</f>
        <v>6</v>
      </c>
      <c r="K20" s="25">
        <f t="shared" si="0"/>
        <v>2.3333333333333299</v>
      </c>
    </row>
    <row r="21" spans="1:11" x14ac:dyDescent="0.3">
      <c r="A21" s="90"/>
      <c r="B21">
        <v>2.8000000000000001E-2</v>
      </c>
      <c r="C21" s="43">
        <v>5.1999999999999998E-3</v>
      </c>
      <c r="D21">
        <v>4.3266666666666696E-3</v>
      </c>
      <c r="E21">
        <v>7.0000000000000001E-3</v>
      </c>
      <c r="F21">
        <v>1.83333333333333E-3</v>
      </c>
      <c r="G21">
        <f t="shared" ref="G21" si="1">B21*1000</f>
        <v>28</v>
      </c>
      <c r="H21" s="25">
        <f t="shared" ref="H21" si="2">C21*1000</f>
        <v>5.2</v>
      </c>
      <c r="I21" s="25">
        <f t="shared" ref="I21" si="3">D21*1000</f>
        <v>4.3266666666666698</v>
      </c>
      <c r="J21" s="25">
        <f>E21*1000</f>
        <v>7</v>
      </c>
      <c r="K21" s="25">
        <f t="shared" ref="K21" si="4">F21*1000</f>
        <v>1.8333333333333302</v>
      </c>
    </row>
    <row r="22" spans="1:11" x14ac:dyDescent="0.3">
      <c r="A22" s="90"/>
      <c r="B22">
        <v>2.9000000000000001E-2</v>
      </c>
      <c r="C22" s="43">
        <v>5.2399999999999999E-3</v>
      </c>
      <c r="D22">
        <v>4.3066666666666696E-3</v>
      </c>
      <c r="E22">
        <v>8.0000000000000002E-3</v>
      </c>
      <c r="F22">
        <v>1.33333333333333E-3</v>
      </c>
      <c r="G22">
        <f t="shared" si="0"/>
        <v>29</v>
      </c>
      <c r="H22" s="25">
        <f t="shared" si="0"/>
        <v>5.24</v>
      </c>
      <c r="I22" s="25">
        <f t="shared" si="0"/>
        <v>4.3066666666666693</v>
      </c>
      <c r="J22" s="25">
        <f>E22*1000</f>
        <v>8</v>
      </c>
      <c r="K22" s="25">
        <f t="shared" si="0"/>
        <v>1.3333333333333299</v>
      </c>
    </row>
    <row r="23" spans="1:11" x14ac:dyDescent="0.3">
      <c r="A23" s="90" t="s">
        <v>30</v>
      </c>
      <c r="B23" s="77" t="s">
        <v>29</v>
      </c>
      <c r="C23" s="77"/>
      <c r="D23" s="77"/>
      <c r="E23" s="77" t="s">
        <v>36</v>
      </c>
      <c r="F23" s="77"/>
      <c r="G23" s="77" t="s">
        <v>29</v>
      </c>
      <c r="H23" s="77"/>
      <c r="I23" s="77"/>
      <c r="J23" s="77" t="s">
        <v>36</v>
      </c>
      <c r="K23" s="77"/>
    </row>
    <row r="24" spans="1:11" x14ac:dyDescent="0.3">
      <c r="A24" s="90"/>
      <c r="B24" t="s">
        <v>28</v>
      </c>
      <c r="C24" t="s">
        <v>27</v>
      </c>
      <c r="D24" t="s">
        <v>8</v>
      </c>
      <c r="E24" t="s">
        <v>31</v>
      </c>
      <c r="F24" t="s">
        <v>8</v>
      </c>
      <c r="G24" t="s">
        <v>28</v>
      </c>
      <c r="H24" t="s">
        <v>27</v>
      </c>
      <c r="I24" t="s">
        <v>8</v>
      </c>
      <c r="J24" t="s">
        <v>31</v>
      </c>
      <c r="K24" t="s">
        <v>8</v>
      </c>
    </row>
    <row r="25" spans="1:11" x14ac:dyDescent="0.3">
      <c r="A25" s="90" t="s">
        <v>76</v>
      </c>
      <c r="B25">
        <v>0.01</v>
      </c>
      <c r="C25">
        <v>5.8500000000000002E-3</v>
      </c>
      <c r="D25">
        <v>5.1599999999999997E-3</v>
      </c>
      <c r="E25">
        <v>1.4E-2</v>
      </c>
      <c r="F25">
        <v>5.0000000000000001E-3</v>
      </c>
      <c r="G25">
        <f>B25*1000</f>
        <v>10</v>
      </c>
      <c r="H25">
        <f>C25*1000</f>
        <v>5.8500000000000005</v>
      </c>
      <c r="I25">
        <f>D25*1000</f>
        <v>5.1599999999999993</v>
      </c>
      <c r="J25" s="25">
        <f>E25*1000</f>
        <v>14</v>
      </c>
      <c r="K25" s="25">
        <f>F25*1000</f>
        <v>5</v>
      </c>
    </row>
    <row r="26" spans="1:11" x14ac:dyDescent="0.3">
      <c r="A26" s="90"/>
      <c r="B26">
        <v>1.0999999999999999E-2</v>
      </c>
      <c r="C26">
        <v>5.7400000000000003E-3</v>
      </c>
      <c r="D26">
        <v>5.1999999999999998E-3</v>
      </c>
      <c r="E26">
        <v>1.2999999999999999E-2</v>
      </c>
      <c r="F26">
        <v>5.0000000000000001E-3</v>
      </c>
      <c r="G26">
        <f t="shared" ref="G26:K44" si="5">B26*1000</f>
        <v>11</v>
      </c>
      <c r="H26">
        <f t="shared" si="5"/>
        <v>5.74</v>
      </c>
      <c r="I26">
        <f t="shared" si="5"/>
        <v>5.2</v>
      </c>
      <c r="J26" s="25">
        <f t="shared" si="5"/>
        <v>13</v>
      </c>
      <c r="K26" s="25">
        <f t="shared" si="5"/>
        <v>5</v>
      </c>
    </row>
    <row r="27" spans="1:11" x14ac:dyDescent="0.3">
      <c r="A27" s="90"/>
      <c r="B27">
        <v>1.2E-2</v>
      </c>
      <c r="C27">
        <v>5.62E-3</v>
      </c>
      <c r="D27">
        <v>5.2199999999999998E-3</v>
      </c>
      <c r="E27">
        <v>1.2E-2</v>
      </c>
      <c r="F27">
        <v>5.0000000000000001E-3</v>
      </c>
      <c r="G27">
        <f t="shared" si="5"/>
        <v>12</v>
      </c>
      <c r="H27" s="20">
        <f t="shared" si="5"/>
        <v>5.62</v>
      </c>
      <c r="I27">
        <f t="shared" si="5"/>
        <v>5.22</v>
      </c>
      <c r="J27" s="25">
        <f t="shared" si="5"/>
        <v>12</v>
      </c>
      <c r="K27" s="25">
        <f t="shared" si="5"/>
        <v>5</v>
      </c>
    </row>
    <row r="28" spans="1:11" x14ac:dyDescent="0.3">
      <c r="A28" s="90"/>
      <c r="B28">
        <v>1.2999999999999999E-2</v>
      </c>
      <c r="C28">
        <v>5.5199999999999997E-3</v>
      </c>
      <c r="D28">
        <v>5.2599999999999999E-3</v>
      </c>
      <c r="E28">
        <v>1.2E-2</v>
      </c>
      <c r="F28">
        <v>6.0000000000000001E-3</v>
      </c>
      <c r="G28">
        <f t="shared" si="5"/>
        <v>13</v>
      </c>
      <c r="H28" s="20">
        <f t="shared" si="5"/>
        <v>5.52</v>
      </c>
      <c r="I28">
        <f t="shared" si="5"/>
        <v>5.26</v>
      </c>
      <c r="J28" s="25">
        <f t="shared" si="5"/>
        <v>12</v>
      </c>
      <c r="K28" s="25">
        <f t="shared" si="5"/>
        <v>6</v>
      </c>
    </row>
    <row r="29" spans="1:11" x14ac:dyDescent="0.3">
      <c r="A29" s="90"/>
      <c r="B29">
        <v>1.4E-2</v>
      </c>
      <c r="C29">
        <v>5.4299999999999999E-3</v>
      </c>
      <c r="D29">
        <v>5.2900000000000004E-3</v>
      </c>
      <c r="E29">
        <v>0.01</v>
      </c>
      <c r="F29">
        <v>5.0000000000000001E-3</v>
      </c>
      <c r="G29">
        <f t="shared" si="5"/>
        <v>14</v>
      </c>
      <c r="H29" s="20">
        <f t="shared" si="5"/>
        <v>5.43</v>
      </c>
      <c r="I29">
        <f t="shared" si="5"/>
        <v>5.29</v>
      </c>
      <c r="J29" s="25">
        <f t="shared" si="5"/>
        <v>10</v>
      </c>
      <c r="K29" s="25">
        <f t="shared" si="5"/>
        <v>5</v>
      </c>
    </row>
    <row r="30" spans="1:11" x14ac:dyDescent="0.3">
      <c r="A30" s="90"/>
      <c r="B30">
        <v>1.4999999999999999E-2</v>
      </c>
      <c r="C30">
        <v>5.3200000000000001E-3</v>
      </c>
      <c r="D30">
        <v>5.3099999999999996E-3</v>
      </c>
      <c r="E30">
        <v>8.9999999999999993E-3</v>
      </c>
      <c r="F30">
        <v>5.0000000000000001E-3</v>
      </c>
      <c r="G30">
        <f t="shared" si="5"/>
        <v>15</v>
      </c>
      <c r="H30" s="20">
        <f t="shared" si="5"/>
        <v>5.32</v>
      </c>
      <c r="I30">
        <f t="shared" si="5"/>
        <v>5.31</v>
      </c>
      <c r="J30" s="25">
        <f t="shared" si="5"/>
        <v>9</v>
      </c>
      <c r="K30" s="25">
        <f t="shared" si="5"/>
        <v>5</v>
      </c>
    </row>
    <row r="31" spans="1:11" x14ac:dyDescent="0.3">
      <c r="A31" s="90"/>
      <c r="B31">
        <v>1.6E-2</v>
      </c>
      <c r="C31">
        <v>5.2300000000000003E-3</v>
      </c>
      <c r="D31">
        <v>5.3E-3</v>
      </c>
      <c r="E31">
        <v>0.01</v>
      </c>
      <c r="F31">
        <v>6.0000000000000001E-3</v>
      </c>
      <c r="G31">
        <f t="shared" si="5"/>
        <v>16</v>
      </c>
      <c r="H31" s="20">
        <f t="shared" si="5"/>
        <v>5.23</v>
      </c>
      <c r="I31">
        <f t="shared" si="5"/>
        <v>5.3</v>
      </c>
      <c r="J31" s="25">
        <f t="shared" si="5"/>
        <v>10</v>
      </c>
      <c r="K31" s="25">
        <f t="shared" si="5"/>
        <v>6</v>
      </c>
    </row>
    <row r="32" spans="1:11" x14ac:dyDescent="0.3">
      <c r="A32" s="90"/>
      <c r="B32">
        <v>1.7000000000000001E-2</v>
      </c>
      <c r="C32">
        <v>5.1599999999999997E-3</v>
      </c>
      <c r="D32">
        <v>5.3200000000000001E-3</v>
      </c>
      <c r="E32">
        <v>7.0000000000000001E-3</v>
      </c>
      <c r="F32">
        <v>4.0000000000000001E-3</v>
      </c>
      <c r="G32">
        <f t="shared" si="5"/>
        <v>17</v>
      </c>
      <c r="H32" s="20">
        <f t="shared" si="5"/>
        <v>5.1599999999999993</v>
      </c>
      <c r="I32">
        <f t="shared" si="5"/>
        <v>5.32</v>
      </c>
      <c r="J32" s="25">
        <f t="shared" si="5"/>
        <v>7</v>
      </c>
      <c r="K32" s="25">
        <f t="shared" si="5"/>
        <v>4</v>
      </c>
    </row>
    <row r="33" spans="1:11" x14ac:dyDescent="0.3">
      <c r="A33" s="90"/>
      <c r="B33">
        <v>1.7999999999999999E-2</v>
      </c>
      <c r="C33">
        <v>4.8999999999999998E-3</v>
      </c>
      <c r="D33">
        <v>5.0200000000000002E-3</v>
      </c>
      <c r="E33">
        <v>7.0000000000000001E-3</v>
      </c>
      <c r="F33">
        <v>6.0000000000000001E-3</v>
      </c>
      <c r="G33">
        <f t="shared" si="5"/>
        <v>18</v>
      </c>
      <c r="H33" s="20">
        <f t="shared" si="5"/>
        <v>4.8999999999999995</v>
      </c>
      <c r="I33">
        <f t="shared" si="5"/>
        <v>5.0200000000000005</v>
      </c>
      <c r="J33" s="25">
        <f t="shared" si="5"/>
        <v>7</v>
      </c>
      <c r="K33" s="25">
        <f t="shared" si="5"/>
        <v>6</v>
      </c>
    </row>
    <row r="34" spans="1:11" x14ac:dyDescent="0.3">
      <c r="A34" s="90"/>
      <c r="B34">
        <v>1.9E-2</v>
      </c>
      <c r="C34">
        <v>4.8399999999999997E-3</v>
      </c>
      <c r="D34">
        <v>5.0400000000000002E-3</v>
      </c>
      <c r="E34">
        <v>8.0000000000000002E-3</v>
      </c>
      <c r="F34">
        <v>8.0000000000000002E-3</v>
      </c>
      <c r="G34">
        <f t="shared" si="5"/>
        <v>19</v>
      </c>
      <c r="H34" s="20">
        <f t="shared" si="5"/>
        <v>4.84</v>
      </c>
      <c r="I34">
        <f t="shared" si="5"/>
        <v>5.04</v>
      </c>
      <c r="J34" s="25">
        <f t="shared" si="5"/>
        <v>8</v>
      </c>
      <c r="K34" s="25">
        <f t="shared" si="5"/>
        <v>8</v>
      </c>
    </row>
    <row r="35" spans="1:11" x14ac:dyDescent="0.3">
      <c r="A35" s="90"/>
      <c r="B35">
        <v>0.02</v>
      </c>
      <c r="C35">
        <v>4.7999999999999996E-3</v>
      </c>
      <c r="D35">
        <v>5.0499999999999998E-3</v>
      </c>
      <c r="E35">
        <v>6.0000000000000001E-3</v>
      </c>
      <c r="F35">
        <v>5.0000000000000001E-3</v>
      </c>
      <c r="G35">
        <f t="shared" si="5"/>
        <v>20</v>
      </c>
      <c r="H35" s="20">
        <f t="shared" si="5"/>
        <v>4.8</v>
      </c>
      <c r="I35">
        <f t="shared" si="5"/>
        <v>5.05</v>
      </c>
      <c r="J35" s="25">
        <f t="shared" si="5"/>
        <v>6</v>
      </c>
      <c r="K35" s="25">
        <f t="shared" si="5"/>
        <v>5</v>
      </c>
    </row>
    <row r="36" spans="1:11" x14ac:dyDescent="0.3">
      <c r="A36" s="90"/>
      <c r="B36">
        <v>2.1000000000000001E-2</v>
      </c>
      <c r="C36">
        <v>4.7600000000000003E-3</v>
      </c>
      <c r="D36">
        <v>5.0600000000000003E-3</v>
      </c>
      <c r="E36">
        <v>7.0000000000000001E-3</v>
      </c>
      <c r="F36">
        <v>8.0000000000000002E-3</v>
      </c>
      <c r="G36">
        <f t="shared" si="5"/>
        <v>21</v>
      </c>
      <c r="H36" s="20">
        <f t="shared" si="5"/>
        <v>4.7600000000000007</v>
      </c>
      <c r="I36">
        <f t="shared" si="5"/>
        <v>5.0600000000000005</v>
      </c>
      <c r="J36" s="25">
        <f t="shared" si="5"/>
        <v>7</v>
      </c>
      <c r="K36" s="25">
        <f t="shared" si="5"/>
        <v>8</v>
      </c>
    </row>
    <row r="37" spans="1:11" x14ac:dyDescent="0.3">
      <c r="A37" s="90"/>
      <c r="B37">
        <v>2.1999999999999999E-2</v>
      </c>
      <c r="C37">
        <v>4.7400000000000003E-3</v>
      </c>
      <c r="D37">
        <v>5.0600000000000003E-3</v>
      </c>
      <c r="E37">
        <v>5.0000000000000001E-3</v>
      </c>
      <c r="F37">
        <v>5.0000000000000001E-3</v>
      </c>
      <c r="G37">
        <f t="shared" si="5"/>
        <v>22</v>
      </c>
      <c r="H37" s="20">
        <f t="shared" si="5"/>
        <v>4.74</v>
      </c>
      <c r="I37">
        <f t="shared" si="5"/>
        <v>5.0600000000000005</v>
      </c>
      <c r="J37" s="25">
        <f t="shared" si="5"/>
        <v>5</v>
      </c>
      <c r="K37" s="25">
        <f t="shared" si="5"/>
        <v>5</v>
      </c>
    </row>
    <row r="38" spans="1:11" x14ac:dyDescent="0.3">
      <c r="A38" s="90"/>
      <c r="B38">
        <v>2.3E-2</v>
      </c>
      <c r="C38">
        <v>4.7299999999999998E-3</v>
      </c>
      <c r="D38">
        <v>5.0600000000000003E-3</v>
      </c>
      <c r="E38">
        <v>4.0000000000000001E-3</v>
      </c>
      <c r="F38">
        <v>3.0000000000000001E-3</v>
      </c>
      <c r="G38">
        <f t="shared" si="5"/>
        <v>23</v>
      </c>
      <c r="H38" s="20">
        <f t="shared" si="5"/>
        <v>4.7299999999999995</v>
      </c>
      <c r="I38">
        <f t="shared" si="5"/>
        <v>5.0600000000000005</v>
      </c>
      <c r="J38" s="25">
        <f t="shared" si="5"/>
        <v>4</v>
      </c>
      <c r="K38" s="25">
        <f t="shared" si="5"/>
        <v>3</v>
      </c>
    </row>
    <row r="39" spans="1:11" x14ac:dyDescent="0.3">
      <c r="A39" s="90"/>
      <c r="B39">
        <v>2.4E-2</v>
      </c>
      <c r="C39">
        <v>4.7299999999999998E-3</v>
      </c>
      <c r="D39">
        <v>5.0499999999999998E-3</v>
      </c>
      <c r="E39">
        <v>4.0000000000000001E-3</v>
      </c>
      <c r="F39">
        <v>2E-3</v>
      </c>
      <c r="G39">
        <f t="shared" si="5"/>
        <v>24</v>
      </c>
      <c r="H39" s="20">
        <f t="shared" si="5"/>
        <v>4.7299999999999995</v>
      </c>
      <c r="I39">
        <f t="shared" si="5"/>
        <v>5.05</v>
      </c>
      <c r="J39" s="25">
        <f t="shared" si="5"/>
        <v>4</v>
      </c>
      <c r="K39" s="25">
        <f t="shared" si="5"/>
        <v>2</v>
      </c>
    </row>
    <row r="40" spans="1:11" x14ac:dyDescent="0.3">
      <c r="A40" s="90"/>
      <c r="B40">
        <v>2.5000000000000001E-2</v>
      </c>
      <c r="C40">
        <v>4.7200000000000002E-3</v>
      </c>
      <c r="D40">
        <v>4.96E-3</v>
      </c>
      <c r="E40">
        <v>4.0000000000000001E-3</v>
      </c>
      <c r="F40">
        <v>3.0000000000000001E-3</v>
      </c>
      <c r="G40">
        <f t="shared" si="5"/>
        <v>25</v>
      </c>
      <c r="H40" s="20">
        <f t="shared" si="5"/>
        <v>4.7200000000000006</v>
      </c>
      <c r="I40">
        <f t="shared" si="5"/>
        <v>4.96</v>
      </c>
      <c r="J40" s="25">
        <f t="shared" si="5"/>
        <v>4</v>
      </c>
      <c r="K40" s="25">
        <f t="shared" si="5"/>
        <v>3</v>
      </c>
    </row>
    <row r="41" spans="1:11" x14ac:dyDescent="0.3">
      <c r="A41" s="90"/>
      <c r="B41">
        <v>2.5999999999999999E-2</v>
      </c>
      <c r="C41">
        <v>4.7099999999999998E-3</v>
      </c>
      <c r="D41">
        <v>4.8399999999999997E-3</v>
      </c>
      <c r="E41">
        <v>5.0000000000000001E-3</v>
      </c>
      <c r="F41">
        <v>3.0000000000000001E-3</v>
      </c>
      <c r="G41">
        <f t="shared" si="5"/>
        <v>26</v>
      </c>
      <c r="H41" s="20">
        <f t="shared" si="5"/>
        <v>4.71</v>
      </c>
      <c r="I41">
        <f t="shared" si="5"/>
        <v>4.84</v>
      </c>
      <c r="J41" s="25">
        <f t="shared" si="5"/>
        <v>5</v>
      </c>
      <c r="K41" s="25">
        <f t="shared" si="5"/>
        <v>3</v>
      </c>
    </row>
    <row r="42" spans="1:11" x14ac:dyDescent="0.3">
      <c r="A42" s="90"/>
      <c r="B42">
        <v>2.7E-2</v>
      </c>
      <c r="C42">
        <v>4.7400000000000003E-3</v>
      </c>
      <c r="D42">
        <v>4.8199999999999996E-3</v>
      </c>
      <c r="E42">
        <v>4.0000000000000001E-3</v>
      </c>
      <c r="F42">
        <v>1E-3</v>
      </c>
      <c r="G42">
        <f t="shared" si="5"/>
        <v>27</v>
      </c>
      <c r="H42" s="20">
        <f t="shared" si="5"/>
        <v>4.74</v>
      </c>
      <c r="I42">
        <f t="shared" si="5"/>
        <v>4.8199999999999994</v>
      </c>
      <c r="J42" s="25">
        <f t="shared" si="5"/>
        <v>4</v>
      </c>
      <c r="K42" s="25">
        <f t="shared" si="5"/>
        <v>1</v>
      </c>
    </row>
    <row r="43" spans="1:11" x14ac:dyDescent="0.3">
      <c r="A43" s="90"/>
      <c r="B43">
        <v>2.8000000000000001E-2</v>
      </c>
      <c r="C43">
        <v>4.7699999999999999E-3</v>
      </c>
      <c r="D43">
        <v>4.7999999999999996E-3</v>
      </c>
      <c r="E43">
        <v>5.0000000000000001E-3</v>
      </c>
      <c r="F43">
        <v>2E-3</v>
      </c>
      <c r="G43">
        <f t="shared" si="5"/>
        <v>28</v>
      </c>
      <c r="H43" s="20">
        <f t="shared" si="5"/>
        <v>4.7699999999999996</v>
      </c>
      <c r="I43">
        <f t="shared" si="5"/>
        <v>4.8</v>
      </c>
      <c r="J43" s="25">
        <f t="shared" si="5"/>
        <v>5</v>
      </c>
      <c r="K43" s="25">
        <f t="shared" si="5"/>
        <v>2</v>
      </c>
    </row>
    <row r="44" spans="1:11" x14ac:dyDescent="0.3">
      <c r="A44" s="90"/>
      <c r="B44">
        <v>2.9000000000000001E-2</v>
      </c>
      <c r="C44">
        <v>4.7800000000000004E-3</v>
      </c>
      <c r="D44">
        <v>4.8199999999999996E-3</v>
      </c>
      <c r="E44">
        <v>6.0000000000000001E-3</v>
      </c>
      <c r="F44">
        <v>2E-3</v>
      </c>
      <c r="G44">
        <f t="shared" si="5"/>
        <v>29</v>
      </c>
      <c r="H44" s="20">
        <f t="shared" si="5"/>
        <v>4.78</v>
      </c>
      <c r="I44">
        <f t="shared" si="5"/>
        <v>4.8199999999999994</v>
      </c>
      <c r="J44" s="25">
        <f t="shared" si="5"/>
        <v>6</v>
      </c>
      <c r="K44" s="25">
        <f t="shared" si="5"/>
        <v>2</v>
      </c>
    </row>
    <row r="45" spans="1:11" x14ac:dyDescent="0.3">
      <c r="A45" s="90" t="s">
        <v>30</v>
      </c>
      <c r="B45" s="77" t="s">
        <v>29</v>
      </c>
      <c r="C45" s="77"/>
      <c r="D45" s="77"/>
      <c r="E45" s="77" t="s">
        <v>36</v>
      </c>
      <c r="F45" s="77"/>
      <c r="G45" s="77" t="s">
        <v>29</v>
      </c>
      <c r="H45" s="77"/>
      <c r="I45" s="77"/>
      <c r="J45" s="77" t="s">
        <v>36</v>
      </c>
      <c r="K45" s="77"/>
    </row>
    <row r="46" spans="1:11" x14ac:dyDescent="0.3">
      <c r="A46" s="90"/>
      <c r="B46" t="s">
        <v>28</v>
      </c>
      <c r="C46" t="s">
        <v>27</v>
      </c>
      <c r="D46" t="s">
        <v>8</v>
      </c>
      <c r="E46" t="s">
        <v>31</v>
      </c>
      <c r="F46" t="s">
        <v>8</v>
      </c>
      <c r="G46" t="s">
        <v>28</v>
      </c>
      <c r="H46" t="s">
        <v>27</v>
      </c>
      <c r="I46" t="s">
        <v>8</v>
      </c>
      <c r="J46" t="s">
        <v>31</v>
      </c>
      <c r="K46" t="s">
        <v>8</v>
      </c>
    </row>
    <row r="47" spans="1:11" x14ac:dyDescent="0.3">
      <c r="A47" s="90" t="s">
        <v>77</v>
      </c>
      <c r="B47">
        <v>0.01</v>
      </c>
      <c r="C47">
        <v>6.8999999999999999E-3</v>
      </c>
      <c r="D47">
        <v>7.6400000000000001E-3</v>
      </c>
      <c r="E47">
        <v>1.0999999999999999E-2</v>
      </c>
      <c r="F47">
        <v>2E-3</v>
      </c>
      <c r="G47">
        <f>B47*1000</f>
        <v>10</v>
      </c>
      <c r="H47">
        <f>C47*1000</f>
        <v>6.8999999999999995</v>
      </c>
      <c r="I47">
        <f>D47*1000</f>
        <v>7.64</v>
      </c>
      <c r="J47" s="25">
        <f>E47*1000</f>
        <v>11</v>
      </c>
      <c r="K47" s="25">
        <f>F47*1000</f>
        <v>2</v>
      </c>
    </row>
    <row r="48" spans="1:11" x14ac:dyDescent="0.3">
      <c r="A48" s="90"/>
      <c r="B48">
        <v>1.0999999999999999E-2</v>
      </c>
      <c r="C48">
        <v>6.7499999999999999E-3</v>
      </c>
      <c r="D48">
        <v>7.6400000000000001E-3</v>
      </c>
      <c r="E48">
        <v>0.01</v>
      </c>
      <c r="F48">
        <v>2E-3</v>
      </c>
      <c r="G48">
        <f t="shared" ref="G48:K63" si="6">B48*1000</f>
        <v>11</v>
      </c>
      <c r="H48">
        <f t="shared" si="6"/>
        <v>6.75</v>
      </c>
      <c r="I48">
        <f t="shared" si="6"/>
        <v>7.64</v>
      </c>
      <c r="J48" s="25">
        <f t="shared" si="6"/>
        <v>10</v>
      </c>
      <c r="K48" s="25">
        <f t="shared" si="6"/>
        <v>2</v>
      </c>
    </row>
    <row r="49" spans="1:11" x14ac:dyDescent="0.3">
      <c r="A49" s="90"/>
      <c r="B49">
        <v>1.2E-2</v>
      </c>
      <c r="C49">
        <v>6.6600000000000001E-3</v>
      </c>
      <c r="D49">
        <v>7.7299999999999999E-3</v>
      </c>
      <c r="E49">
        <v>0.01</v>
      </c>
      <c r="F49">
        <v>2E-3</v>
      </c>
      <c r="G49">
        <f t="shared" si="6"/>
        <v>12</v>
      </c>
      <c r="H49" s="20">
        <f t="shared" si="6"/>
        <v>6.66</v>
      </c>
      <c r="I49">
        <f t="shared" si="6"/>
        <v>7.7299999999999995</v>
      </c>
      <c r="J49" s="25">
        <f t="shared" si="6"/>
        <v>10</v>
      </c>
      <c r="K49" s="25">
        <f t="shared" si="6"/>
        <v>2</v>
      </c>
    </row>
    <row r="50" spans="1:11" x14ac:dyDescent="0.3">
      <c r="A50" s="90"/>
      <c r="B50">
        <v>1.2999999999999999E-2</v>
      </c>
      <c r="C50">
        <v>6.5100000000000002E-3</v>
      </c>
      <c r="D50">
        <v>7.7299999999999999E-3</v>
      </c>
      <c r="E50">
        <v>8.9999999999999993E-3</v>
      </c>
      <c r="F50">
        <v>2E-3</v>
      </c>
      <c r="G50">
        <f t="shared" si="6"/>
        <v>13</v>
      </c>
      <c r="H50" s="20">
        <f t="shared" si="6"/>
        <v>6.51</v>
      </c>
      <c r="I50">
        <f t="shared" si="6"/>
        <v>7.7299999999999995</v>
      </c>
      <c r="J50" s="25">
        <f t="shared" si="6"/>
        <v>9</v>
      </c>
      <c r="K50" s="25">
        <f t="shared" si="6"/>
        <v>2</v>
      </c>
    </row>
    <row r="51" spans="1:11" x14ac:dyDescent="0.3">
      <c r="A51" s="90"/>
      <c r="B51">
        <v>1.4E-2</v>
      </c>
      <c r="C51">
        <v>6.3899999999999998E-3</v>
      </c>
      <c r="D51">
        <v>7.77E-3</v>
      </c>
      <c r="E51">
        <v>8.0000000000000002E-3</v>
      </c>
      <c r="F51">
        <v>2E-3</v>
      </c>
      <c r="G51">
        <f t="shared" si="6"/>
        <v>14</v>
      </c>
      <c r="H51" s="20">
        <f t="shared" si="6"/>
        <v>6.39</v>
      </c>
      <c r="I51">
        <f t="shared" si="6"/>
        <v>7.77</v>
      </c>
      <c r="J51" s="25">
        <f t="shared" si="6"/>
        <v>8</v>
      </c>
      <c r="K51" s="25">
        <f t="shared" si="6"/>
        <v>2</v>
      </c>
    </row>
    <row r="52" spans="1:11" x14ac:dyDescent="0.3">
      <c r="A52" s="90"/>
      <c r="B52">
        <v>1.4999999999999999E-2</v>
      </c>
      <c r="C52">
        <v>6.2700000000000004E-3</v>
      </c>
      <c r="D52">
        <v>7.8100000000000001E-3</v>
      </c>
      <c r="E52">
        <v>7.0000000000000001E-3</v>
      </c>
      <c r="F52">
        <v>2E-3</v>
      </c>
      <c r="G52">
        <f t="shared" si="6"/>
        <v>15</v>
      </c>
      <c r="H52" s="20">
        <f t="shared" si="6"/>
        <v>6.2700000000000005</v>
      </c>
      <c r="I52">
        <f t="shared" si="6"/>
        <v>7.8100000000000005</v>
      </c>
      <c r="J52" s="25">
        <f t="shared" si="6"/>
        <v>7</v>
      </c>
      <c r="K52" s="25">
        <f t="shared" si="6"/>
        <v>2</v>
      </c>
    </row>
    <row r="53" spans="1:11" x14ac:dyDescent="0.3">
      <c r="A53" s="90"/>
      <c r="B53">
        <v>1.6E-2</v>
      </c>
      <c r="C53">
        <v>6.1500000000000001E-3</v>
      </c>
      <c r="D53">
        <v>7.8399999999999997E-3</v>
      </c>
      <c r="E53">
        <v>7.0000000000000001E-3</v>
      </c>
      <c r="F53">
        <v>2E-3</v>
      </c>
      <c r="G53">
        <f t="shared" si="6"/>
        <v>16</v>
      </c>
      <c r="H53" s="20">
        <f t="shared" si="6"/>
        <v>6.15</v>
      </c>
      <c r="I53">
        <f t="shared" si="6"/>
        <v>7.84</v>
      </c>
      <c r="J53" s="25">
        <f t="shared" si="6"/>
        <v>7</v>
      </c>
      <c r="K53" s="25">
        <f t="shared" si="6"/>
        <v>2</v>
      </c>
    </row>
    <row r="54" spans="1:11" x14ac:dyDescent="0.3">
      <c r="A54" s="90"/>
      <c r="B54">
        <v>1.7000000000000001E-2</v>
      </c>
      <c r="C54">
        <v>6.0699999999999999E-3</v>
      </c>
      <c r="D54">
        <v>7.8799999999999999E-3</v>
      </c>
      <c r="E54">
        <v>6.0000000000000001E-3</v>
      </c>
      <c r="F54">
        <v>2E-3</v>
      </c>
      <c r="G54">
        <f t="shared" si="6"/>
        <v>17</v>
      </c>
      <c r="H54" s="20">
        <f t="shared" si="6"/>
        <v>6.07</v>
      </c>
      <c r="I54">
        <f t="shared" si="6"/>
        <v>7.88</v>
      </c>
      <c r="J54" s="25">
        <f t="shared" si="6"/>
        <v>6</v>
      </c>
      <c r="K54" s="25">
        <f t="shared" si="6"/>
        <v>2</v>
      </c>
    </row>
    <row r="55" spans="1:11" x14ac:dyDescent="0.3">
      <c r="A55" s="90"/>
      <c r="B55">
        <v>1.7999999999999999E-2</v>
      </c>
      <c r="C55">
        <v>5.94E-3</v>
      </c>
      <c r="D55">
        <v>7.8600000000000007E-3</v>
      </c>
      <c r="E55">
        <v>5.0000000000000001E-3</v>
      </c>
      <c r="F55">
        <v>2E-3</v>
      </c>
      <c r="G55">
        <f t="shared" si="6"/>
        <v>18</v>
      </c>
      <c r="H55" s="20">
        <f t="shared" si="6"/>
        <v>5.94</v>
      </c>
      <c r="I55">
        <f t="shared" si="6"/>
        <v>7.86</v>
      </c>
      <c r="J55" s="25">
        <f t="shared" si="6"/>
        <v>5</v>
      </c>
      <c r="K55" s="25">
        <f t="shared" si="6"/>
        <v>2</v>
      </c>
    </row>
    <row r="56" spans="1:11" x14ac:dyDescent="0.3">
      <c r="A56" s="90"/>
      <c r="B56">
        <v>1.9E-2</v>
      </c>
      <c r="C56">
        <v>5.8799999999999998E-3</v>
      </c>
      <c r="D56">
        <v>7.92E-3</v>
      </c>
      <c r="E56">
        <v>5.0000000000000001E-3</v>
      </c>
      <c r="F56">
        <v>2E-3</v>
      </c>
      <c r="G56">
        <f t="shared" si="6"/>
        <v>19</v>
      </c>
      <c r="H56" s="20">
        <f t="shared" si="6"/>
        <v>5.88</v>
      </c>
      <c r="I56">
        <f t="shared" si="6"/>
        <v>7.92</v>
      </c>
      <c r="J56" s="25">
        <f t="shared" si="6"/>
        <v>5</v>
      </c>
      <c r="K56" s="25">
        <f t="shared" si="6"/>
        <v>2</v>
      </c>
    </row>
    <row r="57" spans="1:11" x14ac:dyDescent="0.3">
      <c r="A57" s="90"/>
      <c r="B57">
        <v>0.02</v>
      </c>
      <c r="C57">
        <v>5.7999999999999996E-3</v>
      </c>
      <c r="D57">
        <v>7.9399999999999991E-3</v>
      </c>
      <c r="E57">
        <v>4.0000000000000001E-3</v>
      </c>
      <c r="F57">
        <v>2E-3</v>
      </c>
      <c r="G57">
        <f t="shared" si="6"/>
        <v>20</v>
      </c>
      <c r="H57" s="20">
        <f t="shared" si="6"/>
        <v>5.8</v>
      </c>
      <c r="I57">
        <f t="shared" si="6"/>
        <v>7.9399999999999995</v>
      </c>
      <c r="J57" s="25">
        <f t="shared" si="6"/>
        <v>4</v>
      </c>
      <c r="K57" s="25">
        <f t="shared" si="6"/>
        <v>2</v>
      </c>
    </row>
    <row r="58" spans="1:11" x14ac:dyDescent="0.3">
      <c r="A58" s="90"/>
      <c r="B58">
        <v>2.1000000000000001E-2</v>
      </c>
      <c r="C58">
        <v>5.7099999999999998E-3</v>
      </c>
      <c r="D58">
        <v>7.92E-3</v>
      </c>
      <c r="E58">
        <v>4.0000000000000001E-3</v>
      </c>
      <c r="F58">
        <v>2E-3</v>
      </c>
      <c r="G58">
        <f t="shared" si="6"/>
        <v>21</v>
      </c>
      <c r="H58" s="20">
        <f t="shared" si="6"/>
        <v>5.71</v>
      </c>
      <c r="I58">
        <f t="shared" si="6"/>
        <v>7.92</v>
      </c>
      <c r="J58" s="25">
        <f t="shared" si="6"/>
        <v>4</v>
      </c>
      <c r="K58" s="25">
        <f t="shared" si="6"/>
        <v>2</v>
      </c>
    </row>
    <row r="59" spans="1:11" x14ac:dyDescent="0.3">
      <c r="A59" s="90"/>
      <c r="B59">
        <v>2.1999999999999999E-2</v>
      </c>
      <c r="C59">
        <v>5.6499999999999996E-3</v>
      </c>
      <c r="D59">
        <v>7.9000000000000008E-3</v>
      </c>
      <c r="E59">
        <v>4.0000000000000001E-3</v>
      </c>
      <c r="F59">
        <v>1E-3</v>
      </c>
      <c r="G59">
        <f t="shared" si="6"/>
        <v>22</v>
      </c>
      <c r="H59" s="20">
        <f t="shared" si="6"/>
        <v>5.6499999999999995</v>
      </c>
      <c r="I59">
        <f t="shared" si="6"/>
        <v>7.9</v>
      </c>
      <c r="J59" s="25">
        <f t="shared" si="6"/>
        <v>4</v>
      </c>
      <c r="K59" s="25">
        <f t="shared" si="6"/>
        <v>1</v>
      </c>
    </row>
    <row r="60" spans="1:11" x14ac:dyDescent="0.3">
      <c r="A60" s="90"/>
      <c r="B60">
        <v>2.3E-2</v>
      </c>
      <c r="C60">
        <v>5.4000000000000003E-3</v>
      </c>
      <c r="D60">
        <v>7.5300000000000002E-3</v>
      </c>
      <c r="E60">
        <v>3.0000000000000001E-3</v>
      </c>
      <c r="F60">
        <v>1E-3</v>
      </c>
      <c r="G60">
        <f t="shared" si="6"/>
        <v>23</v>
      </c>
      <c r="H60" s="20">
        <f t="shared" si="6"/>
        <v>5.4</v>
      </c>
      <c r="I60">
        <f t="shared" si="6"/>
        <v>7.53</v>
      </c>
      <c r="J60" s="25">
        <f t="shared" si="6"/>
        <v>3</v>
      </c>
      <c r="K60" s="25">
        <f t="shared" si="6"/>
        <v>1</v>
      </c>
    </row>
    <row r="61" spans="1:11" x14ac:dyDescent="0.3">
      <c r="A61" s="90"/>
      <c r="B61">
        <v>2.4E-2</v>
      </c>
      <c r="C61">
        <v>5.3499999999999997E-3</v>
      </c>
      <c r="D61">
        <v>7.4700000000000001E-3</v>
      </c>
      <c r="E61">
        <v>3.0000000000000001E-3</v>
      </c>
      <c r="F61">
        <v>1E-3</v>
      </c>
      <c r="G61">
        <f t="shared" si="6"/>
        <v>24</v>
      </c>
      <c r="H61" s="20">
        <f t="shared" si="6"/>
        <v>5.35</v>
      </c>
      <c r="I61">
        <f t="shared" si="6"/>
        <v>7.47</v>
      </c>
      <c r="J61" s="25">
        <f t="shared" si="6"/>
        <v>3</v>
      </c>
      <c r="K61" s="25">
        <f t="shared" si="6"/>
        <v>1</v>
      </c>
    </row>
    <row r="62" spans="1:11" x14ac:dyDescent="0.3">
      <c r="A62" s="90"/>
      <c r="B62">
        <v>2.5000000000000001E-2</v>
      </c>
      <c r="C62">
        <v>5.3499999999999997E-3</v>
      </c>
      <c r="D62">
        <v>7.4599999999999996E-3</v>
      </c>
      <c r="E62">
        <v>3.0000000000000001E-3</v>
      </c>
      <c r="F62">
        <v>1E-3</v>
      </c>
      <c r="G62">
        <f t="shared" si="6"/>
        <v>25</v>
      </c>
      <c r="H62" s="20">
        <f t="shared" si="6"/>
        <v>5.35</v>
      </c>
      <c r="I62">
        <f t="shared" si="6"/>
        <v>7.46</v>
      </c>
      <c r="J62" s="25">
        <f t="shared" si="6"/>
        <v>3</v>
      </c>
      <c r="K62" s="25">
        <f t="shared" si="6"/>
        <v>1</v>
      </c>
    </row>
    <row r="63" spans="1:11" x14ac:dyDescent="0.3">
      <c r="A63" s="90"/>
      <c r="B63">
        <v>2.5999999999999999E-2</v>
      </c>
      <c r="C63">
        <v>5.3699999999999998E-3</v>
      </c>
      <c r="D63">
        <v>7.45E-3</v>
      </c>
      <c r="E63">
        <v>4.0000000000000001E-3</v>
      </c>
      <c r="F63">
        <v>1E-3</v>
      </c>
      <c r="G63">
        <f t="shared" si="6"/>
        <v>26</v>
      </c>
      <c r="H63" s="20">
        <f t="shared" si="6"/>
        <v>5.37</v>
      </c>
      <c r="I63">
        <f t="shared" si="6"/>
        <v>7.45</v>
      </c>
      <c r="J63" s="25">
        <f t="shared" si="6"/>
        <v>4</v>
      </c>
      <c r="K63" s="25">
        <f t="shared" si="6"/>
        <v>1</v>
      </c>
    </row>
    <row r="64" spans="1:11" x14ac:dyDescent="0.3">
      <c r="A64" s="90"/>
      <c r="B64">
        <v>2.7E-2</v>
      </c>
      <c r="C64">
        <v>5.3699999999999998E-3</v>
      </c>
      <c r="D64">
        <v>7.4400000000000004E-3</v>
      </c>
      <c r="E64">
        <v>4.0000000000000001E-3</v>
      </c>
      <c r="F64">
        <v>1E-3</v>
      </c>
      <c r="G64">
        <f t="shared" ref="G64:G66" si="7">B64*1000</f>
        <v>27</v>
      </c>
      <c r="H64" s="20">
        <f t="shared" ref="H64:H66" si="8">C64*1000</f>
        <v>5.37</v>
      </c>
      <c r="I64">
        <f t="shared" ref="I64:I66" si="9">D64*1000</f>
        <v>7.44</v>
      </c>
      <c r="J64" s="25">
        <f t="shared" ref="J64:J66" si="10">E64*1000</f>
        <v>4</v>
      </c>
      <c r="K64" s="25">
        <f t="shared" ref="K64:K66" si="11">F64*1000</f>
        <v>1</v>
      </c>
    </row>
    <row r="65" spans="1:11" x14ac:dyDescent="0.3">
      <c r="A65" s="90"/>
      <c r="B65">
        <v>2.8000000000000001E-2</v>
      </c>
      <c r="C65">
        <v>5.3800000000000002E-3</v>
      </c>
      <c r="D65">
        <v>7.43E-3</v>
      </c>
      <c r="E65">
        <v>5.0000000000000001E-3</v>
      </c>
      <c r="F65">
        <v>1E-3</v>
      </c>
      <c r="G65">
        <f t="shared" si="7"/>
        <v>28</v>
      </c>
      <c r="H65" s="20">
        <f t="shared" si="8"/>
        <v>5.38</v>
      </c>
      <c r="I65">
        <f t="shared" si="9"/>
        <v>7.43</v>
      </c>
      <c r="J65" s="25">
        <f t="shared" si="10"/>
        <v>5</v>
      </c>
      <c r="K65" s="25">
        <f t="shared" si="11"/>
        <v>1</v>
      </c>
    </row>
    <row r="66" spans="1:11" x14ac:dyDescent="0.3">
      <c r="A66" s="90"/>
      <c r="B66">
        <v>2.9000000000000001E-2</v>
      </c>
      <c r="C66">
        <v>5.3899999999999998E-3</v>
      </c>
      <c r="D66">
        <v>7.4200000000000004E-3</v>
      </c>
      <c r="E66">
        <v>5.0000000000000001E-3</v>
      </c>
      <c r="F66">
        <v>1E-3</v>
      </c>
      <c r="G66">
        <f t="shared" si="7"/>
        <v>29</v>
      </c>
      <c r="H66" s="20">
        <f t="shared" si="8"/>
        <v>5.39</v>
      </c>
      <c r="I66">
        <f t="shared" si="9"/>
        <v>7.4200000000000008</v>
      </c>
      <c r="J66" s="25">
        <f t="shared" si="10"/>
        <v>5</v>
      </c>
      <c r="K66" s="25">
        <f t="shared" si="11"/>
        <v>1</v>
      </c>
    </row>
    <row r="67" spans="1:11" x14ac:dyDescent="0.3">
      <c r="A67" s="90" t="s">
        <v>30</v>
      </c>
      <c r="B67" s="77" t="s">
        <v>29</v>
      </c>
      <c r="C67" s="77"/>
      <c r="D67" s="77"/>
      <c r="E67" s="77" t="s">
        <v>36</v>
      </c>
      <c r="F67" s="77"/>
      <c r="G67" s="77" t="s">
        <v>29</v>
      </c>
      <c r="H67" s="77"/>
      <c r="I67" s="77"/>
      <c r="J67" s="77" t="s">
        <v>36</v>
      </c>
      <c r="K67" s="77"/>
    </row>
    <row r="68" spans="1:11" x14ac:dyDescent="0.3">
      <c r="A68" s="90"/>
      <c r="B68" t="s">
        <v>28</v>
      </c>
      <c r="C68" t="s">
        <v>27</v>
      </c>
      <c r="D68" t="s">
        <v>8</v>
      </c>
      <c r="E68" t="s">
        <v>31</v>
      </c>
      <c r="F68" t="s">
        <v>8</v>
      </c>
      <c r="G68" t="s">
        <v>28</v>
      </c>
      <c r="H68" t="s">
        <v>27</v>
      </c>
      <c r="I68" t="s">
        <v>8</v>
      </c>
      <c r="J68" t="s">
        <v>31</v>
      </c>
      <c r="K68" t="s">
        <v>8</v>
      </c>
    </row>
    <row r="69" spans="1:11" x14ac:dyDescent="0.3">
      <c r="A69" s="90" t="s">
        <v>78</v>
      </c>
      <c r="B69">
        <v>0.01</v>
      </c>
      <c r="C69">
        <v>5.5700000000000003E-3</v>
      </c>
      <c r="D69">
        <v>4.79E-3</v>
      </c>
      <c r="E69">
        <v>1.2E-2</v>
      </c>
      <c r="F69">
        <v>3.0000000000000001E-3</v>
      </c>
      <c r="G69">
        <f>B69*1000</f>
        <v>10</v>
      </c>
      <c r="H69">
        <f>C69*1000</f>
        <v>5.57</v>
      </c>
      <c r="I69">
        <f>D69*1000</f>
        <v>4.79</v>
      </c>
      <c r="J69" s="25">
        <f>E69*1000</f>
        <v>12</v>
      </c>
      <c r="K69" s="25">
        <f>F69*1000</f>
        <v>3</v>
      </c>
    </row>
    <row r="70" spans="1:11" x14ac:dyDescent="0.3">
      <c r="A70" s="90"/>
      <c r="B70">
        <v>1.0999999999999999E-2</v>
      </c>
      <c r="C70">
        <v>5.4599999999999996E-3</v>
      </c>
      <c r="D70">
        <v>4.8300000000000001E-3</v>
      </c>
      <c r="E70">
        <v>1.0999999999999999E-2</v>
      </c>
      <c r="F70">
        <v>3.0000000000000001E-3</v>
      </c>
      <c r="G70">
        <f t="shared" ref="G70:K85" si="12">B70*1000</f>
        <v>11</v>
      </c>
      <c r="H70">
        <f t="shared" si="12"/>
        <v>5.46</v>
      </c>
      <c r="I70">
        <f t="shared" si="12"/>
        <v>4.83</v>
      </c>
      <c r="J70" s="25">
        <f t="shared" si="12"/>
        <v>11</v>
      </c>
      <c r="K70" s="25">
        <f t="shared" si="12"/>
        <v>3</v>
      </c>
    </row>
    <row r="71" spans="1:11" x14ac:dyDescent="0.3">
      <c r="A71" s="90"/>
      <c r="B71">
        <v>1.2E-2</v>
      </c>
      <c r="C71">
        <v>5.3299999999999997E-3</v>
      </c>
      <c r="D71">
        <v>4.8399999999999997E-3</v>
      </c>
      <c r="E71">
        <v>0.01</v>
      </c>
      <c r="F71">
        <v>3.0000000000000001E-3</v>
      </c>
      <c r="G71">
        <f t="shared" si="12"/>
        <v>12</v>
      </c>
      <c r="H71" s="20">
        <f t="shared" si="12"/>
        <v>5.33</v>
      </c>
      <c r="I71">
        <f t="shared" si="12"/>
        <v>4.84</v>
      </c>
      <c r="J71" s="25">
        <f t="shared" si="12"/>
        <v>10</v>
      </c>
      <c r="K71" s="25">
        <f t="shared" si="12"/>
        <v>3</v>
      </c>
    </row>
    <row r="72" spans="1:11" x14ac:dyDescent="0.3">
      <c r="A72" s="90"/>
      <c r="B72">
        <v>1.2999999999999999E-2</v>
      </c>
      <c r="C72">
        <v>5.1700000000000001E-3</v>
      </c>
      <c r="D72">
        <v>4.6800000000000001E-3</v>
      </c>
      <c r="E72">
        <v>8.9999999999999993E-3</v>
      </c>
      <c r="F72">
        <v>3.0000000000000001E-3</v>
      </c>
      <c r="G72">
        <f t="shared" si="12"/>
        <v>13</v>
      </c>
      <c r="H72" s="20">
        <f t="shared" si="12"/>
        <v>5.17</v>
      </c>
      <c r="I72">
        <f t="shared" si="12"/>
        <v>4.68</v>
      </c>
      <c r="J72" s="25">
        <f t="shared" si="12"/>
        <v>9</v>
      </c>
      <c r="K72" s="25">
        <f t="shared" si="12"/>
        <v>3</v>
      </c>
    </row>
    <row r="73" spans="1:11" x14ac:dyDescent="0.3">
      <c r="A73" s="90"/>
      <c r="B73">
        <v>1.4E-2</v>
      </c>
      <c r="C73">
        <v>5.0600000000000003E-3</v>
      </c>
      <c r="D73">
        <v>4.6899999999999997E-3</v>
      </c>
      <c r="E73">
        <v>8.9999999999999993E-3</v>
      </c>
      <c r="F73">
        <v>3.0000000000000001E-3</v>
      </c>
      <c r="G73">
        <f t="shared" si="12"/>
        <v>14</v>
      </c>
      <c r="H73" s="20">
        <f t="shared" si="12"/>
        <v>5.0600000000000005</v>
      </c>
      <c r="I73">
        <f t="shared" si="12"/>
        <v>4.6899999999999995</v>
      </c>
      <c r="J73" s="25">
        <f t="shared" si="12"/>
        <v>9</v>
      </c>
      <c r="K73" s="25">
        <f t="shared" si="12"/>
        <v>3</v>
      </c>
    </row>
    <row r="74" spans="1:11" x14ac:dyDescent="0.3">
      <c r="A74" s="90"/>
      <c r="B74">
        <v>1.4999999999999999E-2</v>
      </c>
      <c r="C74">
        <v>4.9500000000000004E-3</v>
      </c>
      <c r="D74">
        <v>4.6800000000000001E-3</v>
      </c>
      <c r="E74">
        <v>8.0000000000000002E-3</v>
      </c>
      <c r="F74">
        <v>3.0000000000000001E-3</v>
      </c>
      <c r="G74">
        <f t="shared" si="12"/>
        <v>15</v>
      </c>
      <c r="H74" s="20">
        <f t="shared" si="12"/>
        <v>4.95</v>
      </c>
      <c r="I74">
        <f t="shared" si="12"/>
        <v>4.68</v>
      </c>
      <c r="J74" s="25">
        <f t="shared" si="12"/>
        <v>8</v>
      </c>
      <c r="K74" s="25">
        <f t="shared" si="12"/>
        <v>3</v>
      </c>
    </row>
    <row r="75" spans="1:11" x14ac:dyDescent="0.3">
      <c r="A75" s="90"/>
      <c r="B75">
        <v>1.6E-2</v>
      </c>
      <c r="C75">
        <v>4.8599999999999997E-3</v>
      </c>
      <c r="D75">
        <v>4.7000000000000002E-3</v>
      </c>
      <c r="E75">
        <v>7.0000000000000001E-3</v>
      </c>
      <c r="F75">
        <v>3.0000000000000001E-3</v>
      </c>
      <c r="G75">
        <f t="shared" si="12"/>
        <v>16</v>
      </c>
      <c r="H75" s="20">
        <f t="shared" si="12"/>
        <v>4.8599999999999994</v>
      </c>
      <c r="I75">
        <f t="shared" si="12"/>
        <v>4.7</v>
      </c>
      <c r="J75" s="25">
        <f t="shared" si="12"/>
        <v>7</v>
      </c>
      <c r="K75" s="25">
        <f t="shared" si="12"/>
        <v>3</v>
      </c>
    </row>
    <row r="76" spans="1:11" x14ac:dyDescent="0.3">
      <c r="A76" s="90"/>
      <c r="B76">
        <v>1.7000000000000001E-2</v>
      </c>
      <c r="C76">
        <v>4.7600000000000003E-3</v>
      </c>
      <c r="D76">
        <v>4.6699999999999997E-3</v>
      </c>
      <c r="E76">
        <v>6.0000000000000001E-3</v>
      </c>
      <c r="F76">
        <v>3.0000000000000001E-3</v>
      </c>
      <c r="G76">
        <f t="shared" si="12"/>
        <v>17</v>
      </c>
      <c r="H76" s="20">
        <f t="shared" si="12"/>
        <v>4.7600000000000007</v>
      </c>
      <c r="I76">
        <f t="shared" si="12"/>
        <v>4.67</v>
      </c>
      <c r="J76" s="25">
        <f t="shared" si="12"/>
        <v>6</v>
      </c>
      <c r="K76" s="25">
        <f t="shared" si="12"/>
        <v>3</v>
      </c>
    </row>
    <row r="77" spans="1:11" x14ac:dyDescent="0.3">
      <c r="A77" s="90"/>
      <c r="B77">
        <v>1.7999999999999999E-2</v>
      </c>
      <c r="C77">
        <v>4.6699999999999997E-3</v>
      </c>
      <c r="D77">
        <v>4.6699999999999997E-3</v>
      </c>
      <c r="E77">
        <v>6.0000000000000001E-3</v>
      </c>
      <c r="F77">
        <v>3.0000000000000001E-3</v>
      </c>
      <c r="G77">
        <f t="shared" si="12"/>
        <v>18</v>
      </c>
      <c r="H77" s="20">
        <f t="shared" si="12"/>
        <v>4.67</v>
      </c>
      <c r="I77">
        <f t="shared" si="12"/>
        <v>4.67</v>
      </c>
      <c r="J77" s="25">
        <f t="shared" si="12"/>
        <v>6</v>
      </c>
      <c r="K77" s="25">
        <f t="shared" si="12"/>
        <v>3</v>
      </c>
    </row>
    <row r="78" spans="1:11" x14ac:dyDescent="0.3">
      <c r="A78" s="90"/>
      <c r="B78">
        <v>1.9E-2</v>
      </c>
      <c r="C78">
        <v>4.6100000000000004E-3</v>
      </c>
      <c r="D78">
        <v>4.6899999999999997E-3</v>
      </c>
      <c r="E78">
        <v>5.0000000000000001E-3</v>
      </c>
      <c r="F78">
        <v>3.0000000000000001E-3</v>
      </c>
      <c r="G78">
        <f t="shared" si="12"/>
        <v>19</v>
      </c>
      <c r="H78" s="20">
        <f t="shared" si="12"/>
        <v>4.6100000000000003</v>
      </c>
      <c r="I78">
        <f t="shared" si="12"/>
        <v>4.6899999999999995</v>
      </c>
      <c r="J78" s="25">
        <f t="shared" si="12"/>
        <v>5</v>
      </c>
      <c r="K78" s="25">
        <f t="shared" si="12"/>
        <v>3</v>
      </c>
    </row>
    <row r="79" spans="1:11" x14ac:dyDescent="0.3">
      <c r="A79" s="90"/>
      <c r="B79">
        <v>0.02</v>
      </c>
      <c r="C79">
        <v>4.5399999999999998E-3</v>
      </c>
      <c r="D79">
        <v>4.6499999999999996E-3</v>
      </c>
      <c r="E79">
        <v>4.0000000000000001E-3</v>
      </c>
      <c r="F79">
        <v>2E-3</v>
      </c>
      <c r="G79">
        <f t="shared" si="12"/>
        <v>20</v>
      </c>
      <c r="H79" s="20">
        <f t="shared" si="12"/>
        <v>4.54</v>
      </c>
      <c r="I79">
        <f t="shared" si="12"/>
        <v>4.6499999999999995</v>
      </c>
      <c r="J79" s="25">
        <f t="shared" si="12"/>
        <v>4</v>
      </c>
      <c r="K79" s="25">
        <f t="shared" si="12"/>
        <v>2</v>
      </c>
    </row>
    <row r="80" spans="1:11" x14ac:dyDescent="0.3">
      <c r="A80" s="90"/>
      <c r="B80">
        <v>2.1000000000000001E-2</v>
      </c>
      <c r="C80">
        <v>4.4900000000000001E-3</v>
      </c>
      <c r="D80">
        <v>4.6499999999999996E-3</v>
      </c>
      <c r="E80">
        <v>4.0000000000000001E-3</v>
      </c>
      <c r="F80">
        <v>2E-3</v>
      </c>
      <c r="G80">
        <f t="shared" si="12"/>
        <v>21</v>
      </c>
      <c r="H80" s="20">
        <f t="shared" si="12"/>
        <v>4.49</v>
      </c>
      <c r="I80">
        <f t="shared" si="12"/>
        <v>4.6499999999999995</v>
      </c>
      <c r="J80" s="25">
        <f t="shared" si="12"/>
        <v>4</v>
      </c>
      <c r="K80" s="25">
        <f t="shared" si="12"/>
        <v>2</v>
      </c>
    </row>
    <row r="81" spans="1:11" x14ac:dyDescent="0.3">
      <c r="A81" s="90"/>
      <c r="B81">
        <v>2.1999999999999999E-2</v>
      </c>
      <c r="C81">
        <v>4.4600000000000004E-3</v>
      </c>
      <c r="D81">
        <v>4.6600000000000001E-3</v>
      </c>
      <c r="E81">
        <v>4.0000000000000001E-3</v>
      </c>
      <c r="F81">
        <v>2E-3</v>
      </c>
      <c r="G81">
        <f t="shared" si="12"/>
        <v>22</v>
      </c>
      <c r="H81" s="20">
        <f t="shared" si="12"/>
        <v>4.4600000000000009</v>
      </c>
      <c r="I81">
        <f t="shared" si="12"/>
        <v>4.66</v>
      </c>
      <c r="J81" s="25">
        <f t="shared" si="12"/>
        <v>4</v>
      </c>
      <c r="K81" s="25">
        <f t="shared" si="12"/>
        <v>2</v>
      </c>
    </row>
    <row r="82" spans="1:11" x14ac:dyDescent="0.3">
      <c r="A82" s="90"/>
      <c r="B82">
        <v>2.3E-2</v>
      </c>
      <c r="C82">
        <v>4.4400000000000004E-3</v>
      </c>
      <c r="D82">
        <v>4.6699999999999997E-3</v>
      </c>
      <c r="E82">
        <v>3.0000000000000001E-3</v>
      </c>
      <c r="F82">
        <v>2E-3</v>
      </c>
      <c r="G82">
        <f t="shared" si="12"/>
        <v>23</v>
      </c>
      <c r="H82" s="20">
        <f t="shared" si="12"/>
        <v>4.4400000000000004</v>
      </c>
      <c r="I82">
        <f t="shared" si="12"/>
        <v>4.67</v>
      </c>
      <c r="J82" s="25">
        <f t="shared" si="12"/>
        <v>3</v>
      </c>
      <c r="K82" s="25">
        <f t="shared" si="12"/>
        <v>2</v>
      </c>
    </row>
    <row r="83" spans="1:11" x14ac:dyDescent="0.3">
      <c r="A83" s="90"/>
      <c r="B83">
        <v>2.4E-2</v>
      </c>
      <c r="C83">
        <v>4.4299999999999999E-3</v>
      </c>
      <c r="D83">
        <v>4.6699999999999997E-3</v>
      </c>
      <c r="E83">
        <v>3.0000000000000001E-3</v>
      </c>
      <c r="F83">
        <v>2E-3</v>
      </c>
      <c r="G83">
        <f t="shared" si="12"/>
        <v>24</v>
      </c>
      <c r="H83" s="20">
        <f t="shared" si="12"/>
        <v>4.43</v>
      </c>
      <c r="I83">
        <f t="shared" si="12"/>
        <v>4.67</v>
      </c>
      <c r="J83" s="25">
        <f t="shared" si="12"/>
        <v>3</v>
      </c>
      <c r="K83" s="25">
        <f t="shared" si="12"/>
        <v>2</v>
      </c>
    </row>
    <row r="84" spans="1:11" x14ac:dyDescent="0.3">
      <c r="A84" s="90"/>
      <c r="B84">
        <v>2.5000000000000001E-2</v>
      </c>
      <c r="C84">
        <v>4.3600000000000002E-3</v>
      </c>
      <c r="D84">
        <v>4.5300000000000002E-3</v>
      </c>
      <c r="E84">
        <v>3.0000000000000001E-3</v>
      </c>
      <c r="F84">
        <v>2E-3</v>
      </c>
      <c r="G84">
        <f t="shared" si="12"/>
        <v>25</v>
      </c>
      <c r="H84" s="20">
        <f t="shared" si="12"/>
        <v>4.3600000000000003</v>
      </c>
      <c r="I84">
        <f t="shared" si="12"/>
        <v>4.53</v>
      </c>
      <c r="J84" s="25">
        <f t="shared" si="12"/>
        <v>3</v>
      </c>
      <c r="K84" s="25">
        <f t="shared" si="12"/>
        <v>2</v>
      </c>
    </row>
    <row r="85" spans="1:11" x14ac:dyDescent="0.3">
      <c r="A85" s="90"/>
      <c r="B85">
        <v>2.5999999999999999E-2</v>
      </c>
      <c r="C85">
        <v>4.3400000000000001E-3</v>
      </c>
      <c r="D85">
        <v>4.4600000000000004E-3</v>
      </c>
      <c r="E85">
        <v>4.0000000000000001E-3</v>
      </c>
      <c r="F85">
        <v>2E-3</v>
      </c>
      <c r="G85">
        <f t="shared" si="12"/>
        <v>26</v>
      </c>
      <c r="H85" s="20">
        <f t="shared" si="12"/>
        <v>4.34</v>
      </c>
      <c r="I85">
        <f t="shared" si="12"/>
        <v>4.4600000000000009</v>
      </c>
      <c r="J85" s="25">
        <f t="shared" si="12"/>
        <v>4</v>
      </c>
      <c r="K85" s="25">
        <f t="shared" si="12"/>
        <v>2</v>
      </c>
    </row>
    <row r="86" spans="1:11" x14ac:dyDescent="0.3">
      <c r="A86" s="90"/>
      <c r="B86">
        <v>2.7E-2</v>
      </c>
      <c r="C86">
        <v>4.3600000000000002E-3</v>
      </c>
      <c r="D86">
        <v>4.3E-3</v>
      </c>
      <c r="E86">
        <v>4.3333333333333297E-3</v>
      </c>
      <c r="F86">
        <v>2E-3</v>
      </c>
      <c r="G86">
        <f t="shared" ref="G86:G88" si="13">B86*1000</f>
        <v>27</v>
      </c>
      <c r="H86" s="20">
        <f t="shared" ref="H86:H88" si="14">C86*1000</f>
        <v>4.3600000000000003</v>
      </c>
      <c r="I86">
        <f t="shared" ref="I86:I88" si="15">D86*1000</f>
        <v>4.3</v>
      </c>
      <c r="J86" s="25">
        <f t="shared" ref="J86:J88" si="16">E86*1000</f>
        <v>4.3333333333333295</v>
      </c>
      <c r="K86" s="25">
        <f t="shared" ref="K86:K88" si="17">F86*1000</f>
        <v>2</v>
      </c>
    </row>
    <row r="87" spans="1:11" x14ac:dyDescent="0.3">
      <c r="A87" s="90"/>
      <c r="B87">
        <v>2.8000000000000001E-2</v>
      </c>
      <c r="C87">
        <v>4.3800000000000002E-3</v>
      </c>
      <c r="D87">
        <v>4.1999999999999997E-3</v>
      </c>
      <c r="E87">
        <v>4.0000000000000001E-3</v>
      </c>
      <c r="F87">
        <v>2E-3</v>
      </c>
      <c r="G87">
        <f t="shared" si="13"/>
        <v>28</v>
      </c>
      <c r="H87" s="20">
        <f t="shared" si="14"/>
        <v>4.38</v>
      </c>
      <c r="I87">
        <f t="shared" si="15"/>
        <v>4.2</v>
      </c>
      <c r="J87" s="25">
        <f t="shared" si="16"/>
        <v>4</v>
      </c>
      <c r="K87" s="25">
        <f t="shared" si="17"/>
        <v>2</v>
      </c>
    </row>
    <row r="88" spans="1:11" x14ac:dyDescent="0.3">
      <c r="A88" s="90"/>
      <c r="B88">
        <v>2.9000000000000001E-2</v>
      </c>
      <c r="C88">
        <v>4.4999999999999997E-3</v>
      </c>
      <c r="D88">
        <v>4.1000000000000003E-3</v>
      </c>
      <c r="E88">
        <v>5.0000000000000001E-3</v>
      </c>
      <c r="F88">
        <v>2E-3</v>
      </c>
      <c r="G88">
        <f t="shared" si="13"/>
        <v>29</v>
      </c>
      <c r="H88" s="20">
        <f t="shared" si="14"/>
        <v>4.5</v>
      </c>
      <c r="I88">
        <f t="shared" si="15"/>
        <v>4.1000000000000005</v>
      </c>
      <c r="J88" s="25">
        <f t="shared" si="16"/>
        <v>5</v>
      </c>
      <c r="K88" s="25">
        <f t="shared" si="17"/>
        <v>2</v>
      </c>
    </row>
    <row r="89" spans="1:11" x14ac:dyDescent="0.3">
      <c r="A89" s="90" t="s">
        <v>30</v>
      </c>
      <c r="B89" s="77" t="s">
        <v>29</v>
      </c>
      <c r="C89" s="77"/>
      <c r="D89" s="77"/>
      <c r="E89" s="77" t="s">
        <v>36</v>
      </c>
      <c r="F89" s="77"/>
      <c r="G89" s="77" t="s">
        <v>29</v>
      </c>
      <c r="H89" s="77"/>
      <c r="I89" s="77"/>
      <c r="J89" s="77" t="s">
        <v>36</v>
      </c>
      <c r="K89" s="77"/>
    </row>
    <row r="90" spans="1:11" x14ac:dyDescent="0.3">
      <c r="A90" s="90"/>
      <c r="B90" t="s">
        <v>28</v>
      </c>
      <c r="C90" t="s">
        <v>27</v>
      </c>
      <c r="D90" t="s">
        <v>8</v>
      </c>
      <c r="E90" t="s">
        <v>31</v>
      </c>
      <c r="F90" t="s">
        <v>8</v>
      </c>
      <c r="G90" t="s">
        <v>28</v>
      </c>
      <c r="H90" t="s">
        <v>27</v>
      </c>
      <c r="I90" t="s">
        <v>8</v>
      </c>
      <c r="J90" t="s">
        <v>31</v>
      </c>
      <c r="K90" t="s">
        <v>8</v>
      </c>
    </row>
    <row r="91" spans="1:11" x14ac:dyDescent="0.3">
      <c r="A91" s="90" t="s">
        <v>79</v>
      </c>
      <c r="B91">
        <v>0.01</v>
      </c>
      <c r="C91">
        <v>1.2540000000000001E-2</v>
      </c>
      <c r="D91">
        <v>9.4199999999999996E-3</v>
      </c>
      <c r="E91">
        <v>0.04</v>
      </c>
      <c r="F91">
        <v>3.6999999999999998E-2</v>
      </c>
      <c r="G91">
        <f>B91*1000</f>
        <v>10</v>
      </c>
      <c r="H91">
        <f>C91*1000</f>
        <v>12.540000000000001</v>
      </c>
      <c r="I91">
        <f>D91*1000</f>
        <v>9.42</v>
      </c>
      <c r="J91" s="25">
        <f>E91*1000</f>
        <v>40</v>
      </c>
      <c r="K91" s="25">
        <f>F91*1000</f>
        <v>37</v>
      </c>
    </row>
    <row r="92" spans="1:11" x14ac:dyDescent="0.3">
      <c r="A92" s="90"/>
      <c r="B92">
        <v>1.0999999999999999E-2</v>
      </c>
      <c r="C92">
        <v>1.248E-2</v>
      </c>
      <c r="D92">
        <v>9.4400000000000005E-3</v>
      </c>
      <c r="E92">
        <v>4.1000000000000002E-2</v>
      </c>
      <c r="F92">
        <v>3.6999999999999998E-2</v>
      </c>
      <c r="G92">
        <f t="shared" ref="G92:G107" si="18">B92*1000</f>
        <v>11</v>
      </c>
      <c r="H92">
        <f t="shared" ref="H92:H107" si="19">C92*1000</f>
        <v>12.48</v>
      </c>
      <c r="I92">
        <f t="shared" ref="I92:I107" si="20">D92*1000</f>
        <v>9.4400000000000013</v>
      </c>
      <c r="J92" s="25">
        <f t="shared" ref="J92:J107" si="21">E92*1000</f>
        <v>41</v>
      </c>
      <c r="K92" s="25">
        <f t="shared" ref="K92:K107" si="22">F92*1000</f>
        <v>37</v>
      </c>
    </row>
    <row r="93" spans="1:11" x14ac:dyDescent="0.3">
      <c r="A93" s="90"/>
      <c r="B93">
        <v>1.2E-2</v>
      </c>
      <c r="C93">
        <v>1.2460000000000001E-2</v>
      </c>
      <c r="D93">
        <v>9.4599999999999997E-3</v>
      </c>
      <c r="E93">
        <v>4.2000000000000003E-2</v>
      </c>
      <c r="F93">
        <v>3.7999999999999999E-2</v>
      </c>
      <c r="G93">
        <f t="shared" si="18"/>
        <v>12</v>
      </c>
      <c r="H93">
        <f t="shared" si="19"/>
        <v>12.46</v>
      </c>
      <c r="I93">
        <f t="shared" si="20"/>
        <v>9.4599999999999991</v>
      </c>
      <c r="J93" s="25">
        <f t="shared" si="21"/>
        <v>42</v>
      </c>
      <c r="K93" s="25">
        <f t="shared" si="22"/>
        <v>38</v>
      </c>
    </row>
    <row r="94" spans="1:11" x14ac:dyDescent="0.3">
      <c r="A94" s="90"/>
      <c r="B94">
        <v>1.2999999999999999E-2</v>
      </c>
      <c r="C94">
        <v>1.2500000000000001E-2</v>
      </c>
      <c r="D94">
        <v>9.4699999999999993E-3</v>
      </c>
      <c r="E94">
        <v>4.2999999999999997E-2</v>
      </c>
      <c r="F94">
        <v>3.9E-2</v>
      </c>
      <c r="G94">
        <f t="shared" si="18"/>
        <v>13</v>
      </c>
      <c r="H94">
        <f t="shared" si="19"/>
        <v>12.5</v>
      </c>
      <c r="I94">
        <f t="shared" si="20"/>
        <v>9.4699999999999989</v>
      </c>
      <c r="J94" s="25">
        <f t="shared" si="21"/>
        <v>43</v>
      </c>
      <c r="K94" s="25">
        <f t="shared" si="22"/>
        <v>39</v>
      </c>
    </row>
    <row r="95" spans="1:11" x14ac:dyDescent="0.3">
      <c r="A95" s="90"/>
      <c r="B95">
        <v>1.4E-2</v>
      </c>
      <c r="C95">
        <v>1.2449999999999999E-2</v>
      </c>
      <c r="D95">
        <v>9.4500000000000001E-3</v>
      </c>
      <c r="E95">
        <v>4.3999999999999997E-2</v>
      </c>
      <c r="F95">
        <v>3.7999999999999999E-2</v>
      </c>
      <c r="G95">
        <f t="shared" si="18"/>
        <v>14</v>
      </c>
      <c r="H95">
        <f t="shared" si="19"/>
        <v>12.45</v>
      </c>
      <c r="I95">
        <f t="shared" si="20"/>
        <v>9.4499999999999993</v>
      </c>
      <c r="J95" s="25">
        <f t="shared" si="21"/>
        <v>44</v>
      </c>
      <c r="K95" s="25">
        <f t="shared" si="22"/>
        <v>38</v>
      </c>
    </row>
    <row r="96" spans="1:11" x14ac:dyDescent="0.3">
      <c r="A96" s="90"/>
      <c r="B96">
        <v>1.4999999999999999E-2</v>
      </c>
      <c r="C96">
        <v>1.2160000000000001E-2</v>
      </c>
      <c r="D96">
        <v>9.3399999999999993E-3</v>
      </c>
      <c r="E96">
        <v>4.4999999999999998E-2</v>
      </c>
      <c r="F96">
        <v>3.7999999999999999E-2</v>
      </c>
      <c r="G96">
        <f t="shared" si="18"/>
        <v>15</v>
      </c>
      <c r="H96">
        <f t="shared" si="19"/>
        <v>12.16</v>
      </c>
      <c r="I96">
        <f t="shared" si="20"/>
        <v>9.34</v>
      </c>
      <c r="J96" s="25">
        <f t="shared" si="21"/>
        <v>45</v>
      </c>
      <c r="K96" s="25">
        <f t="shared" si="22"/>
        <v>38</v>
      </c>
    </row>
    <row r="97" spans="1:11" x14ac:dyDescent="0.3">
      <c r="A97" s="90"/>
      <c r="B97">
        <v>1.6E-2</v>
      </c>
      <c r="C97">
        <v>1.2070000000000001E-2</v>
      </c>
      <c r="D97">
        <v>9.3399999999999993E-3</v>
      </c>
      <c r="E97">
        <v>4.4999999999999998E-2</v>
      </c>
      <c r="F97">
        <v>3.9E-2</v>
      </c>
      <c r="G97">
        <f t="shared" si="18"/>
        <v>16</v>
      </c>
      <c r="H97">
        <f t="shared" si="19"/>
        <v>12.07</v>
      </c>
      <c r="I97">
        <f t="shared" si="20"/>
        <v>9.34</v>
      </c>
      <c r="J97" s="25">
        <f t="shared" si="21"/>
        <v>45</v>
      </c>
      <c r="K97" s="25">
        <f t="shared" si="22"/>
        <v>39</v>
      </c>
    </row>
    <row r="98" spans="1:11" x14ac:dyDescent="0.3">
      <c r="A98" s="90"/>
      <c r="B98">
        <v>1.7000000000000001E-2</v>
      </c>
      <c r="C98">
        <v>1.208E-2</v>
      </c>
      <c r="D98">
        <v>9.4199999999999996E-3</v>
      </c>
      <c r="E98">
        <v>4.4999999999999998E-2</v>
      </c>
      <c r="F98">
        <v>3.9E-2</v>
      </c>
      <c r="G98">
        <f t="shared" si="18"/>
        <v>17</v>
      </c>
      <c r="H98">
        <f t="shared" si="19"/>
        <v>12.08</v>
      </c>
      <c r="I98">
        <f t="shared" si="20"/>
        <v>9.42</v>
      </c>
      <c r="J98" s="25">
        <f t="shared" si="21"/>
        <v>45</v>
      </c>
      <c r="K98" s="25">
        <f t="shared" si="22"/>
        <v>39</v>
      </c>
    </row>
    <row r="99" spans="1:11" x14ac:dyDescent="0.3">
      <c r="A99" s="90"/>
      <c r="B99">
        <v>1.7999999999999999E-2</v>
      </c>
      <c r="C99">
        <v>1.1939999999999999E-2</v>
      </c>
      <c r="D99">
        <v>9.4199999999999996E-3</v>
      </c>
      <c r="E99">
        <v>4.3999999999999997E-2</v>
      </c>
      <c r="F99">
        <v>0.04</v>
      </c>
      <c r="G99">
        <f t="shared" si="18"/>
        <v>18</v>
      </c>
      <c r="H99">
        <f t="shared" si="19"/>
        <v>11.94</v>
      </c>
      <c r="I99">
        <f t="shared" si="20"/>
        <v>9.42</v>
      </c>
      <c r="J99" s="25">
        <f t="shared" si="21"/>
        <v>44</v>
      </c>
      <c r="K99" s="25">
        <f t="shared" si="22"/>
        <v>40</v>
      </c>
    </row>
    <row r="100" spans="1:11" x14ac:dyDescent="0.3">
      <c r="A100" s="90"/>
      <c r="B100">
        <v>1.9E-2</v>
      </c>
      <c r="C100">
        <v>1.1769999999999999E-2</v>
      </c>
      <c r="D100">
        <v>9.3200000000000002E-3</v>
      </c>
      <c r="E100">
        <v>4.3999999999999997E-2</v>
      </c>
      <c r="F100">
        <v>0.04</v>
      </c>
      <c r="G100">
        <f t="shared" si="18"/>
        <v>19</v>
      </c>
      <c r="H100">
        <f t="shared" si="19"/>
        <v>11.77</v>
      </c>
      <c r="I100">
        <f t="shared" si="20"/>
        <v>9.32</v>
      </c>
      <c r="J100" s="25">
        <f t="shared" si="21"/>
        <v>44</v>
      </c>
      <c r="K100" s="25">
        <f t="shared" si="22"/>
        <v>40</v>
      </c>
    </row>
    <row r="101" spans="1:11" x14ac:dyDescent="0.3">
      <c r="A101" s="90"/>
      <c r="B101">
        <v>0.02</v>
      </c>
      <c r="C101">
        <v>1.1599999999999999E-2</v>
      </c>
      <c r="D101">
        <v>9.2999999999999992E-3</v>
      </c>
      <c r="E101">
        <v>4.3999999999999997E-2</v>
      </c>
      <c r="F101">
        <v>0.04</v>
      </c>
      <c r="G101">
        <f t="shared" si="18"/>
        <v>20</v>
      </c>
      <c r="H101">
        <f t="shared" si="19"/>
        <v>11.6</v>
      </c>
      <c r="I101">
        <f t="shared" si="20"/>
        <v>9.2999999999999989</v>
      </c>
      <c r="J101" s="25">
        <f t="shared" si="21"/>
        <v>44</v>
      </c>
      <c r="K101" s="25">
        <f t="shared" si="22"/>
        <v>40</v>
      </c>
    </row>
    <row r="102" spans="1:11" x14ac:dyDescent="0.3">
      <c r="A102" s="90"/>
      <c r="B102">
        <v>2.1000000000000001E-2</v>
      </c>
      <c r="C102">
        <v>1.133E-2</v>
      </c>
      <c r="D102">
        <v>9.1999999999999998E-3</v>
      </c>
      <c r="E102">
        <v>4.5999999999999999E-2</v>
      </c>
      <c r="F102">
        <v>0.04</v>
      </c>
      <c r="G102">
        <f t="shared" si="18"/>
        <v>21</v>
      </c>
      <c r="H102">
        <f t="shared" si="19"/>
        <v>11.33</v>
      </c>
      <c r="I102">
        <f t="shared" si="20"/>
        <v>9.1999999999999993</v>
      </c>
      <c r="J102" s="25">
        <f t="shared" si="21"/>
        <v>46</v>
      </c>
      <c r="K102" s="25">
        <f t="shared" si="22"/>
        <v>40</v>
      </c>
    </row>
    <row r="103" spans="1:11" x14ac:dyDescent="0.3">
      <c r="A103" s="90"/>
      <c r="B103">
        <v>2.1999999999999999E-2</v>
      </c>
      <c r="C103">
        <v>1.124E-2</v>
      </c>
      <c r="D103">
        <v>9.1800000000000007E-3</v>
      </c>
      <c r="E103">
        <v>4.2999999999999997E-2</v>
      </c>
      <c r="F103">
        <v>0.04</v>
      </c>
      <c r="G103">
        <f t="shared" si="18"/>
        <v>22</v>
      </c>
      <c r="H103">
        <f t="shared" si="19"/>
        <v>11.24</v>
      </c>
      <c r="I103">
        <f t="shared" si="20"/>
        <v>9.1800000000000015</v>
      </c>
      <c r="J103" s="25">
        <f t="shared" si="21"/>
        <v>43</v>
      </c>
      <c r="K103" s="25">
        <f t="shared" si="22"/>
        <v>40</v>
      </c>
    </row>
    <row r="104" spans="1:11" x14ac:dyDescent="0.3">
      <c r="A104" s="90"/>
      <c r="B104">
        <v>2.3E-2</v>
      </c>
      <c r="C104">
        <v>1.133E-2</v>
      </c>
      <c r="D104">
        <v>9.2300000000000004E-3</v>
      </c>
      <c r="E104">
        <v>4.4999999999999998E-2</v>
      </c>
      <c r="F104">
        <v>0.04</v>
      </c>
      <c r="G104">
        <f t="shared" si="18"/>
        <v>23</v>
      </c>
      <c r="H104">
        <f t="shared" si="19"/>
        <v>11.33</v>
      </c>
      <c r="I104">
        <f t="shared" si="20"/>
        <v>9.23</v>
      </c>
      <c r="J104" s="25">
        <f t="shared" si="21"/>
        <v>45</v>
      </c>
      <c r="K104" s="25">
        <f t="shared" si="22"/>
        <v>40</v>
      </c>
    </row>
    <row r="105" spans="1:11" x14ac:dyDescent="0.3">
      <c r="A105" s="90"/>
      <c r="B105">
        <v>2.4E-2</v>
      </c>
      <c r="C105">
        <v>1.116E-2</v>
      </c>
      <c r="D105">
        <v>9.1699999999999993E-3</v>
      </c>
      <c r="E105">
        <v>4.3999999999999997E-2</v>
      </c>
      <c r="F105">
        <v>4.2000000000000003E-2</v>
      </c>
      <c r="G105">
        <f t="shared" si="18"/>
        <v>24</v>
      </c>
      <c r="H105">
        <f t="shared" si="19"/>
        <v>11.16</v>
      </c>
      <c r="I105">
        <f t="shared" si="20"/>
        <v>9.17</v>
      </c>
      <c r="J105" s="25">
        <f t="shared" si="21"/>
        <v>44</v>
      </c>
      <c r="K105" s="25">
        <f t="shared" si="22"/>
        <v>42</v>
      </c>
    </row>
    <row r="106" spans="1:11" x14ac:dyDescent="0.3">
      <c r="A106" s="90"/>
      <c r="B106">
        <v>2.5000000000000001E-2</v>
      </c>
      <c r="C106">
        <v>1.1209999999999999E-2</v>
      </c>
      <c r="D106">
        <v>9.2499999999999995E-3</v>
      </c>
      <c r="E106">
        <v>4.2999999999999997E-2</v>
      </c>
      <c r="F106">
        <v>4.2000000000000003E-2</v>
      </c>
      <c r="G106">
        <f t="shared" si="18"/>
        <v>25</v>
      </c>
      <c r="H106">
        <f t="shared" si="19"/>
        <v>11.209999999999999</v>
      </c>
      <c r="I106">
        <f t="shared" si="20"/>
        <v>9.25</v>
      </c>
      <c r="J106" s="25">
        <f t="shared" si="21"/>
        <v>43</v>
      </c>
      <c r="K106" s="25">
        <f t="shared" si="22"/>
        <v>42</v>
      </c>
    </row>
    <row r="107" spans="1:11" x14ac:dyDescent="0.3">
      <c r="A107" s="90"/>
      <c r="B107">
        <v>2.5999999999999999E-2</v>
      </c>
      <c r="C107">
        <v>1.145E-2</v>
      </c>
      <c r="D107">
        <v>9.1599999999999997E-3</v>
      </c>
      <c r="E107">
        <v>4.3999999999999997E-2</v>
      </c>
      <c r="F107">
        <v>4.2999999999999997E-2</v>
      </c>
      <c r="G107">
        <f t="shared" si="18"/>
        <v>26</v>
      </c>
      <c r="H107">
        <f t="shared" si="19"/>
        <v>11.45</v>
      </c>
      <c r="I107">
        <f t="shared" si="20"/>
        <v>9.16</v>
      </c>
      <c r="J107" s="25">
        <f t="shared" si="21"/>
        <v>44</v>
      </c>
      <c r="K107" s="25">
        <f t="shared" si="22"/>
        <v>43</v>
      </c>
    </row>
    <row r="108" spans="1:11" x14ac:dyDescent="0.3">
      <c r="A108" s="90"/>
      <c r="B108">
        <v>2.7E-2</v>
      </c>
      <c r="C108">
        <v>1.1860000000000001E-2</v>
      </c>
      <c r="D108">
        <v>9.1800000000000007E-3</v>
      </c>
      <c r="E108">
        <v>4.3666666666666701E-2</v>
      </c>
      <c r="F108">
        <v>4.33333333333333E-2</v>
      </c>
      <c r="G108">
        <f t="shared" ref="G108:G110" si="23">B108*1000</f>
        <v>27</v>
      </c>
      <c r="H108">
        <f t="shared" ref="H108:H110" si="24">C108*1000</f>
        <v>11.860000000000001</v>
      </c>
      <c r="I108">
        <f t="shared" ref="I108:I110" si="25">D108*1000</f>
        <v>9.1800000000000015</v>
      </c>
      <c r="J108" s="25">
        <f t="shared" ref="J108:J110" si="26">E108*1000</f>
        <v>43.6666666666667</v>
      </c>
      <c r="K108" s="25">
        <f t="shared" ref="K108:K110" si="27">F108*1000</f>
        <v>43.3333333333333</v>
      </c>
    </row>
    <row r="109" spans="1:11" x14ac:dyDescent="0.3">
      <c r="A109" s="90"/>
      <c r="B109">
        <v>2.8000000000000001E-2</v>
      </c>
      <c r="C109">
        <v>1.213E-2</v>
      </c>
      <c r="D109">
        <v>9.1900000000000003E-3</v>
      </c>
      <c r="E109">
        <v>4.3666666666666701E-2</v>
      </c>
      <c r="F109">
        <v>4.3833333333333301E-2</v>
      </c>
      <c r="G109">
        <f t="shared" si="23"/>
        <v>28</v>
      </c>
      <c r="H109">
        <f t="shared" si="24"/>
        <v>12.13</v>
      </c>
      <c r="I109">
        <f t="shared" si="25"/>
        <v>9.19</v>
      </c>
      <c r="J109" s="25">
        <f t="shared" si="26"/>
        <v>43.6666666666667</v>
      </c>
      <c r="K109" s="25">
        <f t="shared" si="27"/>
        <v>43.8333333333333</v>
      </c>
    </row>
    <row r="110" spans="1:11" x14ac:dyDescent="0.3">
      <c r="A110" s="90"/>
      <c r="B110">
        <v>2.9000000000000001E-2</v>
      </c>
      <c r="C110">
        <v>1.3769999999999999E-2</v>
      </c>
      <c r="D110">
        <v>9.1999999999999998E-3</v>
      </c>
      <c r="E110">
        <v>4.3666666666666701E-2</v>
      </c>
      <c r="F110">
        <v>4.4333333333333301E-2</v>
      </c>
      <c r="G110">
        <f t="shared" si="23"/>
        <v>29</v>
      </c>
      <c r="H110">
        <f t="shared" si="24"/>
        <v>13.77</v>
      </c>
      <c r="I110">
        <f t="shared" si="25"/>
        <v>9.1999999999999993</v>
      </c>
      <c r="J110" s="25">
        <f t="shared" si="26"/>
        <v>43.6666666666667</v>
      </c>
      <c r="K110" s="25">
        <f t="shared" si="27"/>
        <v>44.3333333333333</v>
      </c>
    </row>
  </sheetData>
  <mergeCells count="30">
    <mergeCell ref="G45:I45"/>
    <mergeCell ref="J45:K45"/>
    <mergeCell ref="J1:K1"/>
    <mergeCell ref="A3:A22"/>
    <mergeCell ref="A25:A44"/>
    <mergeCell ref="A1:A2"/>
    <mergeCell ref="B1:D1"/>
    <mergeCell ref="E1:F1"/>
    <mergeCell ref="G1:I1"/>
    <mergeCell ref="A23:A24"/>
    <mergeCell ref="B23:D23"/>
    <mergeCell ref="E23:F23"/>
    <mergeCell ref="G23:I23"/>
    <mergeCell ref="J23:K23"/>
    <mergeCell ref="A47:A66"/>
    <mergeCell ref="A45:A46"/>
    <mergeCell ref="J89:K89"/>
    <mergeCell ref="A91:A110"/>
    <mergeCell ref="A67:A68"/>
    <mergeCell ref="B67:D67"/>
    <mergeCell ref="E67:F67"/>
    <mergeCell ref="G67:I67"/>
    <mergeCell ref="A89:A90"/>
    <mergeCell ref="B89:D89"/>
    <mergeCell ref="E89:F89"/>
    <mergeCell ref="G89:I89"/>
    <mergeCell ref="J67:K67"/>
    <mergeCell ref="A69:A88"/>
    <mergeCell ref="B45:D45"/>
    <mergeCell ref="E45:F4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6C6C-1C7D-4660-B1DE-C4124E614331}">
  <dimension ref="A1:E9"/>
  <sheetViews>
    <sheetView workbookViewId="0">
      <selection activeCell="L26" sqref="L26"/>
    </sheetView>
  </sheetViews>
  <sheetFormatPr defaultRowHeight="14.4" x14ac:dyDescent="0.3"/>
  <cols>
    <col min="1" max="1" width="13.21875" customWidth="1"/>
    <col min="2" max="2" width="18" bestFit="1" customWidth="1"/>
  </cols>
  <sheetData>
    <row r="1" spans="1:5" x14ac:dyDescent="0.3">
      <c r="B1" t="s">
        <v>181</v>
      </c>
      <c r="C1" t="s">
        <v>171</v>
      </c>
      <c r="D1" t="s">
        <v>179</v>
      </c>
    </row>
    <row r="2" spans="1:5" x14ac:dyDescent="0.3">
      <c r="A2" t="s">
        <v>81</v>
      </c>
      <c r="B2" t="s">
        <v>82</v>
      </c>
      <c r="C2" t="s">
        <v>82</v>
      </c>
    </row>
    <row r="3" spans="1:5" x14ac:dyDescent="0.3">
      <c r="A3">
        <v>400</v>
      </c>
      <c r="B3">
        <v>10.1</v>
      </c>
      <c r="C3">
        <v>12.4</v>
      </c>
      <c r="D3">
        <v>14.7</v>
      </c>
      <c r="E3">
        <v>0</v>
      </c>
    </row>
    <row r="4" spans="1:5" x14ac:dyDescent="0.3">
      <c r="A4">
        <f>A3+200</f>
        <v>600</v>
      </c>
      <c r="B4">
        <v>11.5</v>
      </c>
      <c r="C4">
        <v>14.5</v>
      </c>
      <c r="D4">
        <v>17.8</v>
      </c>
      <c r="E4">
        <v>1</v>
      </c>
    </row>
    <row r="5" spans="1:5" x14ac:dyDescent="0.3">
      <c r="A5">
        <f>A4+200</f>
        <v>800</v>
      </c>
      <c r="B5">
        <v>14.4</v>
      </c>
      <c r="C5">
        <v>18.5</v>
      </c>
      <c r="D5">
        <v>22.8</v>
      </c>
      <c r="E5">
        <v>2</v>
      </c>
    </row>
    <row r="6" spans="1:5" x14ac:dyDescent="0.3">
      <c r="A6">
        <f t="shared" ref="A6:A9" si="0">A5+200</f>
        <v>1000</v>
      </c>
      <c r="B6">
        <v>16.7</v>
      </c>
      <c r="C6">
        <v>22.1</v>
      </c>
      <c r="D6">
        <v>27.7</v>
      </c>
      <c r="E6">
        <v>3</v>
      </c>
    </row>
    <row r="7" spans="1:5" x14ac:dyDescent="0.3">
      <c r="A7">
        <f t="shared" si="0"/>
        <v>1200</v>
      </c>
      <c r="B7">
        <v>19.3</v>
      </c>
      <c r="C7">
        <v>26</v>
      </c>
      <c r="D7">
        <v>32.299999999999997</v>
      </c>
      <c r="E7">
        <v>4</v>
      </c>
    </row>
    <row r="8" spans="1:5" x14ac:dyDescent="0.3">
      <c r="A8">
        <f t="shared" si="0"/>
        <v>1400</v>
      </c>
      <c r="B8">
        <v>20.5</v>
      </c>
      <c r="C8">
        <v>27.8</v>
      </c>
      <c r="D8">
        <v>35.200000000000003</v>
      </c>
      <c r="E8">
        <v>5</v>
      </c>
    </row>
    <row r="9" spans="1:5" x14ac:dyDescent="0.3">
      <c r="A9">
        <f t="shared" si="0"/>
        <v>1600</v>
      </c>
      <c r="B9">
        <v>22.6</v>
      </c>
      <c r="C9">
        <v>30.7</v>
      </c>
      <c r="D9">
        <v>38.799999999999997</v>
      </c>
      <c r="E9">
        <v>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B119-D5E2-4BE6-996A-FBA0D4878312}">
  <dimension ref="A1:K122"/>
  <sheetViews>
    <sheetView workbookViewId="0">
      <selection activeCell="M25" sqref="M25"/>
    </sheetView>
  </sheetViews>
  <sheetFormatPr defaultRowHeight="14.4" x14ac:dyDescent="0.3"/>
  <cols>
    <col min="2" max="2" width="26.33203125" bestFit="1" customWidth="1"/>
    <col min="3" max="3" width="16.5546875" bestFit="1" customWidth="1"/>
    <col min="4" max="4" width="6" bestFit="1" customWidth="1"/>
    <col min="5" max="5" width="12" bestFit="1" customWidth="1"/>
    <col min="6" max="6" width="9.5546875" bestFit="1" customWidth="1"/>
  </cols>
  <sheetData>
    <row r="1" spans="1:7" x14ac:dyDescent="0.3">
      <c r="A1" s="107" t="s">
        <v>169</v>
      </c>
      <c r="B1" s="54" t="s">
        <v>30</v>
      </c>
      <c r="C1" s="54" t="s">
        <v>131</v>
      </c>
      <c r="D1" s="54" t="s">
        <v>26</v>
      </c>
      <c r="E1" s="54" t="s">
        <v>132</v>
      </c>
      <c r="F1" s="70" t="s">
        <v>183</v>
      </c>
      <c r="G1" s="70" t="s">
        <v>182</v>
      </c>
    </row>
    <row r="2" spans="1:7" x14ac:dyDescent="0.3">
      <c r="A2" s="107"/>
      <c r="B2" s="90" t="s">
        <v>33</v>
      </c>
      <c r="C2" s="54">
        <v>51</v>
      </c>
      <c r="D2" s="54">
        <v>20</v>
      </c>
      <c r="E2" s="55">
        <v>0.31</v>
      </c>
      <c r="F2" s="55"/>
      <c r="G2" s="55">
        <v>0.31</v>
      </c>
    </row>
    <row r="3" spans="1:7" x14ac:dyDescent="0.3">
      <c r="A3" s="107"/>
      <c r="B3" s="90"/>
      <c r="C3" s="54">
        <v>53</v>
      </c>
      <c r="D3" s="54">
        <v>21</v>
      </c>
      <c r="E3" s="55">
        <v>0.27</v>
      </c>
      <c r="F3" s="55"/>
      <c r="G3" s="55">
        <v>0.27</v>
      </c>
    </row>
    <row r="4" spans="1:7" x14ac:dyDescent="0.3">
      <c r="A4" s="107"/>
      <c r="B4" s="90"/>
      <c r="C4" s="54">
        <v>54</v>
      </c>
      <c r="D4" s="54">
        <v>22</v>
      </c>
      <c r="E4" s="55">
        <v>0.25600866850126702</v>
      </c>
      <c r="F4" s="55"/>
      <c r="G4" s="55">
        <v>0.25600866850126702</v>
      </c>
    </row>
    <row r="5" spans="1:7" x14ac:dyDescent="0.3">
      <c r="A5" s="107"/>
      <c r="B5" s="90"/>
      <c r="C5" s="54">
        <v>55</v>
      </c>
      <c r="D5" s="54">
        <v>23</v>
      </c>
      <c r="E5" s="55">
        <v>0.21679421897000001</v>
      </c>
      <c r="F5" s="55"/>
      <c r="G5" s="55">
        <v>0.21679421897000001</v>
      </c>
    </row>
    <row r="6" spans="1:7" x14ac:dyDescent="0.3">
      <c r="A6" s="107"/>
      <c r="B6" s="90"/>
      <c r="C6" s="54">
        <v>55</v>
      </c>
      <c r="D6" s="54">
        <v>24</v>
      </c>
      <c r="E6" s="55">
        <v>0.208496756040388</v>
      </c>
      <c r="F6" s="55"/>
      <c r="G6" s="55">
        <v>0.208496756040388</v>
      </c>
    </row>
    <row r="7" spans="1:7" x14ac:dyDescent="0.3">
      <c r="A7" s="107"/>
      <c r="B7" s="90"/>
      <c r="C7" s="54">
        <v>54</v>
      </c>
      <c r="D7" s="54">
        <v>25</v>
      </c>
      <c r="E7" s="55">
        <v>0.21608672883643901</v>
      </c>
      <c r="F7" s="55"/>
      <c r="G7" s="55">
        <v>0.21608672883643901</v>
      </c>
    </row>
    <row r="8" spans="1:7" x14ac:dyDescent="0.3">
      <c r="A8" s="107"/>
      <c r="B8" s="90"/>
      <c r="C8" s="54">
        <v>54</v>
      </c>
      <c r="D8" s="54">
        <v>26</v>
      </c>
      <c r="E8" s="55">
        <v>0.22952269906821801</v>
      </c>
      <c r="F8" s="55"/>
      <c r="G8" s="55">
        <v>0.22952269906821801</v>
      </c>
    </row>
    <row r="9" spans="1:7" x14ac:dyDescent="0.3">
      <c r="A9" s="107"/>
      <c r="B9" s="90"/>
      <c r="C9" s="54">
        <v>54</v>
      </c>
      <c r="D9" s="54">
        <v>27</v>
      </c>
      <c r="E9" s="55">
        <v>0.24496620973229</v>
      </c>
      <c r="F9" s="55"/>
      <c r="G9" s="55">
        <v>0.24496620973229</v>
      </c>
    </row>
    <row r="10" spans="1:7" x14ac:dyDescent="0.3">
      <c r="A10" s="107"/>
      <c r="B10" s="90"/>
      <c r="C10" s="54">
        <v>54</v>
      </c>
      <c r="D10" s="54">
        <v>28</v>
      </c>
      <c r="E10" s="55">
        <v>0.26640089055105798</v>
      </c>
      <c r="F10" s="55"/>
      <c r="G10" s="55">
        <v>0.26640089055105798</v>
      </c>
    </row>
    <row r="11" spans="1:7" x14ac:dyDescent="0.3">
      <c r="A11" s="107"/>
      <c r="B11" s="90"/>
      <c r="C11" s="54">
        <v>54</v>
      </c>
      <c r="D11" s="54">
        <v>29</v>
      </c>
      <c r="E11" s="55">
        <v>0.29397916260768298</v>
      </c>
      <c r="F11" s="55"/>
      <c r="G11" s="55">
        <v>0.29397916260768298</v>
      </c>
    </row>
    <row r="12" spans="1:7" x14ac:dyDescent="0.3">
      <c r="A12" s="107"/>
      <c r="B12" s="90" t="s">
        <v>32</v>
      </c>
      <c r="C12" s="54">
        <v>51</v>
      </c>
      <c r="D12" s="54">
        <v>20</v>
      </c>
      <c r="E12" s="55">
        <v>0.30599999999999999</v>
      </c>
      <c r="F12" s="55"/>
      <c r="G12" s="55">
        <v>0.30599999999999999</v>
      </c>
    </row>
    <row r="13" spans="1:7" x14ac:dyDescent="0.3">
      <c r="A13" s="107"/>
      <c r="B13" s="90"/>
      <c r="C13" s="54">
        <v>51</v>
      </c>
      <c r="D13" s="54">
        <v>21</v>
      </c>
      <c r="E13" s="55">
        <v>0.26443484277031598</v>
      </c>
      <c r="F13" s="55"/>
      <c r="G13" s="55">
        <v>0.26443484277031598</v>
      </c>
    </row>
    <row r="14" spans="1:7" x14ac:dyDescent="0.3">
      <c r="A14" s="107"/>
      <c r="B14" s="90"/>
      <c r="C14" s="54">
        <v>52</v>
      </c>
      <c r="D14" s="54">
        <v>22</v>
      </c>
      <c r="E14" s="55">
        <v>0.255297728955165</v>
      </c>
      <c r="F14" s="55"/>
      <c r="G14" s="55">
        <v>0.255297728955165</v>
      </c>
    </row>
    <row r="15" spans="1:7" x14ac:dyDescent="0.3">
      <c r="A15" s="107"/>
      <c r="B15" s="90"/>
      <c r="C15" s="54">
        <v>52</v>
      </c>
      <c r="D15" s="54">
        <v>23</v>
      </c>
      <c r="E15" s="55">
        <v>0.22588831543812099</v>
      </c>
      <c r="F15" s="55"/>
      <c r="G15" s="55">
        <v>0.22436411976523701</v>
      </c>
    </row>
    <row r="16" spans="1:7" x14ac:dyDescent="0.3">
      <c r="A16" s="107"/>
      <c r="B16" s="90"/>
      <c r="C16" s="54">
        <v>52</v>
      </c>
      <c r="D16" s="54">
        <v>24</v>
      </c>
      <c r="E16" s="55">
        <v>0.22436411976523701</v>
      </c>
      <c r="F16" s="55"/>
      <c r="G16" s="55">
        <v>0.22588831543812099</v>
      </c>
    </row>
    <row r="17" spans="1:7" x14ac:dyDescent="0.3">
      <c r="A17" s="107"/>
      <c r="B17" s="90"/>
      <c r="C17" s="54">
        <v>52</v>
      </c>
      <c r="D17" s="54">
        <v>25</v>
      </c>
      <c r="E17" s="55">
        <v>0.23367483266123901</v>
      </c>
      <c r="F17" s="55"/>
      <c r="G17" s="55">
        <v>0.23367483266123901</v>
      </c>
    </row>
    <row r="18" spans="1:7" x14ac:dyDescent="0.3">
      <c r="A18" s="107"/>
      <c r="B18" s="90"/>
      <c r="C18" s="54">
        <v>52</v>
      </c>
      <c r="D18" s="54">
        <v>26</v>
      </c>
      <c r="E18" s="55">
        <v>0.24741037439084401</v>
      </c>
      <c r="F18" s="55"/>
      <c r="G18" s="55">
        <v>0.24741037439084401</v>
      </c>
    </row>
    <row r="19" spans="1:7" x14ac:dyDescent="0.3">
      <c r="A19" s="107"/>
      <c r="B19" s="90"/>
      <c r="C19" s="54">
        <v>52</v>
      </c>
      <c r="D19" s="54">
        <v>27</v>
      </c>
      <c r="E19" s="55">
        <v>0.26697634598290698</v>
      </c>
      <c r="F19" s="55"/>
      <c r="G19" s="55">
        <v>0.26697634598290698</v>
      </c>
    </row>
    <row r="20" spans="1:7" x14ac:dyDescent="0.3">
      <c r="A20" s="107"/>
      <c r="B20" s="90"/>
      <c r="C20" s="54">
        <v>52</v>
      </c>
      <c r="D20" s="54">
        <v>28</v>
      </c>
      <c r="E20" s="55">
        <v>0.29292462407832598</v>
      </c>
      <c r="F20" s="55"/>
      <c r="G20" s="55">
        <v>0.29292462407832598</v>
      </c>
    </row>
    <row r="21" spans="1:7" x14ac:dyDescent="0.3">
      <c r="A21" s="107"/>
      <c r="B21" s="90"/>
      <c r="C21" s="54">
        <v>50</v>
      </c>
      <c r="D21" s="54">
        <v>29</v>
      </c>
      <c r="E21" s="55">
        <v>0.30099999999999999</v>
      </c>
      <c r="F21" s="55"/>
      <c r="G21" s="55">
        <v>0.30099999999999999</v>
      </c>
    </row>
    <row r="22" spans="1:7" x14ac:dyDescent="0.3">
      <c r="A22" s="107"/>
      <c r="B22" s="90" t="s">
        <v>133</v>
      </c>
      <c r="C22" s="54">
        <v>21</v>
      </c>
      <c r="D22" s="54">
        <v>20</v>
      </c>
      <c r="E22" s="55">
        <v>0.108555885773802</v>
      </c>
      <c r="F22" s="55"/>
      <c r="G22" s="55">
        <v>0.108555885773802</v>
      </c>
    </row>
    <row r="23" spans="1:7" x14ac:dyDescent="0.3">
      <c r="A23" s="107"/>
      <c r="B23" s="90"/>
      <c r="C23" s="54">
        <v>21</v>
      </c>
      <c r="D23" s="54">
        <v>21</v>
      </c>
      <c r="E23" s="55">
        <v>9.8634608214846903E-2</v>
      </c>
      <c r="F23" s="55"/>
      <c r="G23" s="55">
        <v>9.8634608214846903E-2</v>
      </c>
    </row>
    <row r="24" spans="1:7" x14ac:dyDescent="0.3">
      <c r="A24" s="107"/>
      <c r="B24" s="90"/>
      <c r="C24" s="54">
        <v>21</v>
      </c>
      <c r="D24" s="54">
        <v>22</v>
      </c>
      <c r="E24" s="55">
        <v>9.12907582546989E-2</v>
      </c>
      <c r="F24" s="55"/>
      <c r="G24" s="55">
        <v>9.12907582546989E-2</v>
      </c>
    </row>
    <row r="25" spans="1:7" x14ac:dyDescent="0.3">
      <c r="A25" s="107"/>
      <c r="B25" s="90"/>
      <c r="C25" s="54">
        <v>21</v>
      </c>
      <c r="D25" s="54">
        <v>23</v>
      </c>
      <c r="E25" s="55">
        <v>8.6524723288258096E-2</v>
      </c>
      <c r="F25" s="20"/>
      <c r="G25" s="55">
        <v>8.6524723288258096E-2</v>
      </c>
    </row>
    <row r="26" spans="1:7" x14ac:dyDescent="0.3">
      <c r="A26" s="107"/>
      <c r="B26" s="90"/>
      <c r="C26" s="54">
        <v>21</v>
      </c>
      <c r="D26" s="54">
        <v>24</v>
      </c>
      <c r="E26" s="55">
        <v>8.4428117524543905E-2</v>
      </c>
      <c r="F26" s="20"/>
      <c r="G26" s="55">
        <v>8.42281175245439E-2</v>
      </c>
    </row>
    <row r="27" spans="1:7" x14ac:dyDescent="0.3">
      <c r="A27" s="107"/>
      <c r="B27" s="90"/>
      <c r="C27" s="54">
        <v>21</v>
      </c>
      <c r="D27" s="54">
        <v>25</v>
      </c>
      <c r="E27" s="55">
        <v>8.3388534139445997E-2</v>
      </c>
      <c r="F27" s="20"/>
      <c r="G27" s="55">
        <v>8.4388534139445998E-2</v>
      </c>
    </row>
    <row r="28" spans="1:7" x14ac:dyDescent="0.3">
      <c r="A28" s="107"/>
      <c r="B28" s="90"/>
      <c r="C28" s="54">
        <v>21</v>
      </c>
      <c r="D28" s="54">
        <v>26</v>
      </c>
      <c r="E28" s="55">
        <v>8.7042729925813994E-2</v>
      </c>
      <c r="F28" s="20"/>
      <c r="G28" s="55">
        <v>8.7042729925813994E-2</v>
      </c>
    </row>
    <row r="29" spans="1:7" x14ac:dyDescent="0.3">
      <c r="A29" s="107"/>
      <c r="B29" s="90"/>
      <c r="C29" s="54">
        <v>21</v>
      </c>
      <c r="D29" s="54">
        <v>27</v>
      </c>
      <c r="E29" s="55">
        <v>9.21198921154191E-2</v>
      </c>
      <c r="F29" s="20"/>
      <c r="G29" s="55">
        <v>9.21198921154191E-2</v>
      </c>
    </row>
    <row r="30" spans="1:7" x14ac:dyDescent="0.3">
      <c r="A30" s="107"/>
      <c r="B30" s="90"/>
      <c r="C30" s="54">
        <v>21</v>
      </c>
      <c r="D30" s="54">
        <v>28</v>
      </c>
      <c r="E30" s="55">
        <v>9.9769548548391401E-2</v>
      </c>
      <c r="F30" s="20"/>
      <c r="G30" s="55">
        <v>9.9769548548391401E-2</v>
      </c>
    </row>
    <row r="31" spans="1:7" x14ac:dyDescent="0.3">
      <c r="A31" s="107"/>
      <c r="B31" s="90"/>
      <c r="C31" s="54">
        <v>21</v>
      </c>
      <c r="D31" s="54">
        <v>29</v>
      </c>
      <c r="E31" s="55">
        <v>0.10990094706051599</v>
      </c>
      <c r="F31" s="20"/>
      <c r="G31" s="55">
        <v>0.10990094706051599</v>
      </c>
    </row>
    <row r="32" spans="1:7" x14ac:dyDescent="0.3">
      <c r="A32" s="107"/>
      <c r="B32" s="90" t="s">
        <v>35</v>
      </c>
      <c r="C32" s="54">
        <v>19</v>
      </c>
      <c r="D32" s="54">
        <v>20</v>
      </c>
      <c r="E32" s="55">
        <v>9.1784410791082793E-2</v>
      </c>
      <c r="F32" s="55"/>
      <c r="G32" s="55">
        <v>0.120864439067163</v>
      </c>
    </row>
    <row r="33" spans="1:7" x14ac:dyDescent="0.3">
      <c r="A33" s="107"/>
      <c r="B33" s="90"/>
      <c r="C33" s="54">
        <v>19</v>
      </c>
      <c r="D33" s="54">
        <v>21</v>
      </c>
      <c r="E33" s="55">
        <v>8.5070877336910197E-2</v>
      </c>
      <c r="F33" s="55"/>
      <c r="G33" s="55">
        <v>9.1784410791082793E-2</v>
      </c>
    </row>
    <row r="34" spans="1:7" x14ac:dyDescent="0.3">
      <c r="A34" s="107"/>
      <c r="B34" s="90"/>
      <c r="C34" s="54">
        <v>19</v>
      </c>
      <c r="D34" s="54">
        <v>22</v>
      </c>
      <c r="E34" s="55">
        <v>8.08433870168834E-2</v>
      </c>
      <c r="F34" s="55"/>
      <c r="G34" s="55">
        <v>8.5070877336910197E-2</v>
      </c>
    </row>
    <row r="35" spans="1:7" x14ac:dyDescent="0.3">
      <c r="A35" s="107"/>
      <c r="B35" s="90"/>
      <c r="C35" s="54">
        <v>19</v>
      </c>
      <c r="D35" s="54">
        <v>23</v>
      </c>
      <c r="E35" s="55">
        <v>7.9102157921646599E-2</v>
      </c>
      <c r="F35" s="55"/>
      <c r="G35" s="55">
        <v>8.08433870168834E-2</v>
      </c>
    </row>
    <row r="36" spans="1:7" x14ac:dyDescent="0.3">
      <c r="A36" s="107"/>
      <c r="B36" s="90"/>
      <c r="C36" s="54">
        <v>19</v>
      </c>
      <c r="D36" s="54">
        <v>24</v>
      </c>
      <c r="E36" s="55">
        <v>7.9847097809047501E-2</v>
      </c>
      <c r="F36" s="55"/>
      <c r="G36" s="55">
        <v>7.9102157921646599E-2</v>
      </c>
    </row>
    <row r="37" spans="1:7" x14ac:dyDescent="0.3">
      <c r="A37" s="107"/>
      <c r="B37" s="90"/>
      <c r="C37" s="54">
        <v>19</v>
      </c>
      <c r="D37" s="54">
        <v>25</v>
      </c>
      <c r="E37" s="55">
        <v>8.3078190637318999E-2</v>
      </c>
      <c r="F37" s="55"/>
      <c r="G37" s="55">
        <v>7.9847097809047501E-2</v>
      </c>
    </row>
    <row r="38" spans="1:7" x14ac:dyDescent="0.3">
      <c r="A38" s="107"/>
      <c r="B38" s="90"/>
      <c r="C38" s="54">
        <v>19</v>
      </c>
      <c r="D38" s="54">
        <v>26</v>
      </c>
      <c r="E38" s="55">
        <v>8.8795419590675106E-2</v>
      </c>
      <c r="F38" s="55"/>
      <c r="G38" s="55">
        <v>8.3078190637318999E-2</v>
      </c>
    </row>
    <row r="39" spans="1:7" x14ac:dyDescent="0.3">
      <c r="A39" s="107"/>
      <c r="B39" s="90"/>
      <c r="C39" s="54">
        <v>19</v>
      </c>
      <c r="D39" s="54">
        <v>27</v>
      </c>
      <c r="E39" s="55">
        <v>9.6998937949272002E-2</v>
      </c>
      <c r="F39" s="55"/>
      <c r="G39" s="55">
        <v>8.8795419590675106E-2</v>
      </c>
    </row>
    <row r="40" spans="1:7" x14ac:dyDescent="0.3">
      <c r="A40" s="107"/>
      <c r="B40" s="90"/>
      <c r="C40" s="54">
        <v>19</v>
      </c>
      <c r="D40" s="54">
        <v>28</v>
      </c>
      <c r="E40" s="55">
        <v>0.107688511075029</v>
      </c>
      <c r="F40" s="55"/>
      <c r="G40" s="55">
        <v>9.6998937949272002E-2</v>
      </c>
    </row>
    <row r="41" spans="1:7" x14ac:dyDescent="0.3">
      <c r="A41" s="107"/>
      <c r="B41" s="90"/>
      <c r="C41" s="54">
        <v>19</v>
      </c>
      <c r="D41" s="54">
        <v>29</v>
      </c>
      <c r="E41" s="55">
        <v>0.120864439067163</v>
      </c>
      <c r="F41" s="55"/>
      <c r="G41" s="55">
        <v>0.120864439067163</v>
      </c>
    </row>
    <row r="42" spans="1:7" x14ac:dyDescent="0.3">
      <c r="A42" s="107"/>
      <c r="B42" s="90" t="s">
        <v>76</v>
      </c>
      <c r="C42" s="54">
        <v>19</v>
      </c>
      <c r="D42" s="54">
        <v>20</v>
      </c>
      <c r="E42" s="55">
        <v>8.3579506145603499E-2</v>
      </c>
      <c r="F42" s="55"/>
      <c r="G42" s="55">
        <v>0.12967546313176301</v>
      </c>
    </row>
    <row r="43" spans="1:7" x14ac:dyDescent="0.3">
      <c r="A43" s="107"/>
      <c r="B43" s="90"/>
      <c r="C43" s="54">
        <v>19</v>
      </c>
      <c r="D43" s="54">
        <v>21</v>
      </c>
      <c r="E43" s="55">
        <v>7.9624874705246304E-2</v>
      </c>
      <c r="F43" s="55"/>
      <c r="G43" s="55">
        <v>0.115763262480788</v>
      </c>
    </row>
    <row r="44" spans="1:7" x14ac:dyDescent="0.3">
      <c r="A44" s="107"/>
      <c r="B44" s="90"/>
      <c r="C44" s="54">
        <v>19</v>
      </c>
      <c r="D44" s="54">
        <v>22</v>
      </c>
      <c r="E44" s="55">
        <v>7.7995056822209904E-2</v>
      </c>
      <c r="F44" s="55"/>
      <c r="G44" s="55">
        <v>8.3579506145603499E-2</v>
      </c>
    </row>
    <row r="45" spans="1:7" x14ac:dyDescent="0.3">
      <c r="A45" s="107"/>
      <c r="B45" s="90"/>
      <c r="C45" s="54">
        <v>19</v>
      </c>
      <c r="D45" s="54">
        <v>23</v>
      </c>
      <c r="E45" s="55">
        <v>7.8654544664583506E-2</v>
      </c>
      <c r="F45" s="55"/>
      <c r="G45" s="55">
        <v>7.9624874705246304E-2</v>
      </c>
    </row>
    <row r="46" spans="1:7" x14ac:dyDescent="0.3">
      <c r="A46" s="107"/>
      <c r="B46" s="90"/>
      <c r="C46" s="54">
        <v>19</v>
      </c>
      <c r="D46" s="54">
        <v>24</v>
      </c>
      <c r="E46" s="55">
        <v>8.1558958724039607E-2</v>
      </c>
      <c r="F46" s="55"/>
      <c r="G46" s="55">
        <v>7.7995056822209904E-2</v>
      </c>
    </row>
    <row r="47" spans="1:7" x14ac:dyDescent="0.3">
      <c r="A47" s="107"/>
      <c r="B47" s="90"/>
      <c r="C47" s="54">
        <v>19</v>
      </c>
      <c r="D47" s="54">
        <v>25</v>
      </c>
      <c r="E47" s="55">
        <v>8.67995511178523E-2</v>
      </c>
      <c r="F47" s="55"/>
      <c r="G47" s="55">
        <v>7.8654544664583506E-2</v>
      </c>
    </row>
    <row r="48" spans="1:7" x14ac:dyDescent="0.3">
      <c r="A48" s="107"/>
      <c r="B48" s="90"/>
      <c r="C48" s="54">
        <v>19</v>
      </c>
      <c r="D48" s="54">
        <v>26</v>
      </c>
      <c r="E48" s="55">
        <v>9.4353493542190303E-2</v>
      </c>
      <c r="F48" s="55"/>
      <c r="G48" s="55">
        <v>8.1558958724039607E-2</v>
      </c>
    </row>
    <row r="49" spans="1:11" x14ac:dyDescent="0.3">
      <c r="A49" s="107"/>
      <c r="B49" s="90"/>
      <c r="C49" s="54">
        <v>19</v>
      </c>
      <c r="D49" s="54">
        <v>27</v>
      </c>
      <c r="E49" s="55">
        <v>0.10405157963412499</v>
      </c>
      <c r="F49" s="55"/>
      <c r="G49" s="55">
        <v>8.67995511178523E-2</v>
      </c>
    </row>
    <row r="50" spans="1:11" x14ac:dyDescent="0.3">
      <c r="A50" s="107"/>
      <c r="B50" s="90"/>
      <c r="C50" s="54">
        <v>19</v>
      </c>
      <c r="D50" s="54">
        <v>28</v>
      </c>
      <c r="E50" s="55">
        <v>0.115763262480788</v>
      </c>
      <c r="F50" s="55"/>
      <c r="G50" s="55">
        <v>9.4353493542190303E-2</v>
      </c>
    </row>
    <row r="51" spans="1:11" x14ac:dyDescent="0.3">
      <c r="A51" s="107"/>
      <c r="B51" s="90"/>
      <c r="C51" s="54">
        <v>19</v>
      </c>
      <c r="D51" s="54">
        <v>29</v>
      </c>
      <c r="E51" s="55">
        <v>0.12967546313176301</v>
      </c>
      <c r="F51" s="55"/>
      <c r="G51" s="55">
        <v>0.10405157963412499</v>
      </c>
    </row>
    <row r="52" spans="1:11" x14ac:dyDescent="0.3">
      <c r="A52" s="107"/>
      <c r="B52" s="90" t="s">
        <v>75</v>
      </c>
      <c r="C52" s="53">
        <v>17</v>
      </c>
      <c r="D52" s="54">
        <v>20</v>
      </c>
      <c r="E52" s="55">
        <v>9.6843909839325601E-2</v>
      </c>
      <c r="F52" s="55"/>
      <c r="G52" s="55">
        <v>9.6843909839325601E-2</v>
      </c>
    </row>
    <row r="53" spans="1:11" x14ac:dyDescent="0.3">
      <c r="A53" s="107"/>
      <c r="B53" s="90"/>
      <c r="C53" s="53">
        <v>17</v>
      </c>
      <c r="D53" s="54">
        <v>21</v>
      </c>
      <c r="E53" s="55">
        <v>9.0395418700083593E-2</v>
      </c>
      <c r="F53" s="55"/>
      <c r="G53" s="55">
        <v>9.0395418700083593E-2</v>
      </c>
    </row>
    <row r="54" spans="1:11" x14ac:dyDescent="0.3">
      <c r="A54" s="107"/>
      <c r="B54" s="90"/>
      <c r="C54" s="53">
        <v>17</v>
      </c>
      <c r="D54" s="54">
        <v>22</v>
      </c>
      <c r="E54" s="55">
        <v>8.6295764530462796E-2</v>
      </c>
      <c r="F54" s="55"/>
      <c r="G54" s="55">
        <v>8.6295764530462796E-2</v>
      </c>
    </row>
    <row r="55" spans="1:11" x14ac:dyDescent="0.3">
      <c r="A55" s="107"/>
      <c r="B55" s="90"/>
      <c r="C55" s="53">
        <v>17</v>
      </c>
      <c r="D55" s="54">
        <v>23</v>
      </c>
      <c r="E55" s="55">
        <v>8.4411674878107398E-2</v>
      </c>
      <c r="F55" s="55"/>
      <c r="G55" s="55">
        <v>8.4411674878107398E-2</v>
      </c>
    </row>
    <row r="56" spans="1:11" x14ac:dyDescent="0.3">
      <c r="A56" s="107"/>
      <c r="B56" s="90"/>
      <c r="C56" s="53">
        <v>17</v>
      </c>
      <c r="D56" s="54">
        <v>24</v>
      </c>
      <c r="E56" s="55">
        <v>8.4941329892356601E-2</v>
      </c>
      <c r="F56" s="55"/>
      <c r="G56" s="55">
        <v>8.4941329892356601E-2</v>
      </c>
    </row>
    <row r="57" spans="1:11" x14ac:dyDescent="0.3">
      <c r="A57" s="107"/>
      <c r="B57" s="90"/>
      <c r="C57" s="53">
        <v>17</v>
      </c>
      <c r="D57" s="54">
        <v>25</v>
      </c>
      <c r="E57" s="55">
        <v>0.09</v>
      </c>
      <c r="F57" s="55"/>
      <c r="G57" s="55">
        <v>0.09</v>
      </c>
    </row>
    <row r="58" spans="1:11" x14ac:dyDescent="0.3">
      <c r="A58" s="107"/>
      <c r="B58" s="90"/>
      <c r="C58" s="53">
        <v>17</v>
      </c>
      <c r="D58" s="54">
        <v>26</v>
      </c>
      <c r="E58" s="55">
        <v>0.105712112961419</v>
      </c>
      <c r="F58" s="55"/>
      <c r="G58" s="55">
        <v>0.105712112961419</v>
      </c>
    </row>
    <row r="59" spans="1:11" x14ac:dyDescent="0.3">
      <c r="A59" s="107"/>
      <c r="B59" s="90"/>
      <c r="C59" s="53">
        <v>17</v>
      </c>
      <c r="D59" s="54">
        <v>27</v>
      </c>
      <c r="E59" s="55">
        <v>0.116999562115206</v>
      </c>
      <c r="F59" s="55"/>
      <c r="G59" s="55">
        <v>0.116999562115206</v>
      </c>
    </row>
    <row r="60" spans="1:11" x14ac:dyDescent="0.3">
      <c r="A60" s="107"/>
      <c r="B60" s="90"/>
      <c r="C60" s="53">
        <v>17</v>
      </c>
      <c r="D60" s="54">
        <v>28</v>
      </c>
      <c r="E60" s="55">
        <v>0.126</v>
      </c>
      <c r="F60" s="55"/>
      <c r="G60" s="55">
        <v>0.126</v>
      </c>
    </row>
    <row r="61" spans="1:11" x14ac:dyDescent="0.3">
      <c r="A61" s="107"/>
      <c r="B61" s="90"/>
      <c r="C61" s="53">
        <v>17</v>
      </c>
      <c r="D61" s="54">
        <v>29</v>
      </c>
      <c r="E61" s="55">
        <v>0.13400000000000001</v>
      </c>
      <c r="F61" s="55"/>
      <c r="G61" s="55">
        <v>0.13400000000000001</v>
      </c>
    </row>
    <row r="62" spans="1:11" x14ac:dyDescent="0.3">
      <c r="B62" s="77" t="s">
        <v>159</v>
      </c>
      <c r="C62" s="77"/>
      <c r="D62" s="77"/>
      <c r="E62" s="77"/>
      <c r="F62" s="77"/>
      <c r="G62" s="77"/>
      <c r="H62" s="77"/>
      <c r="I62" s="77"/>
      <c r="J62" s="77"/>
      <c r="K62" s="77"/>
    </row>
    <row r="63" spans="1:11" x14ac:dyDescent="0.3">
      <c r="B63" s="107" t="s">
        <v>160</v>
      </c>
      <c r="C63" s="69"/>
      <c r="D63" s="69">
        <v>20</v>
      </c>
      <c r="E63">
        <v>0.22765857025399799</v>
      </c>
      <c r="F63" s="20">
        <v>0.152363697256165</v>
      </c>
    </row>
    <row r="64" spans="1:11" x14ac:dyDescent="0.3">
      <c r="B64" s="107"/>
      <c r="C64" s="69"/>
      <c r="D64" s="69">
        <v>21</v>
      </c>
      <c r="E64">
        <v>0.22565857025399799</v>
      </c>
      <c r="F64" s="20">
        <v>0.149072561872784</v>
      </c>
    </row>
    <row r="65" spans="2:6" x14ac:dyDescent="0.3">
      <c r="B65" s="107"/>
      <c r="C65" s="69"/>
      <c r="D65" s="69">
        <v>22</v>
      </c>
      <c r="E65">
        <v>0.221763264940598</v>
      </c>
      <c r="F65" s="20">
        <v>0.15985637161968999</v>
      </c>
    </row>
    <row r="66" spans="2:6" x14ac:dyDescent="0.3">
      <c r="B66" s="107"/>
      <c r="C66" s="69"/>
      <c r="D66" s="69">
        <v>23</v>
      </c>
      <c r="E66">
        <v>0.21768405057333701</v>
      </c>
      <c r="F66" s="20">
        <v>0.15992374952462801</v>
      </c>
    </row>
    <row r="67" spans="2:6" x14ac:dyDescent="0.3">
      <c r="B67" s="107"/>
      <c r="C67" s="69"/>
      <c r="D67" s="69">
        <v>24</v>
      </c>
      <c r="E67">
        <v>0.20790348557256799</v>
      </c>
      <c r="F67" s="20">
        <v>0.16365597442063601</v>
      </c>
    </row>
    <row r="68" spans="2:6" x14ac:dyDescent="0.3">
      <c r="B68" s="107"/>
      <c r="C68" s="69"/>
      <c r="D68" s="69">
        <v>25</v>
      </c>
      <c r="E68">
        <v>0.206886082566274</v>
      </c>
      <c r="F68" s="20">
        <v>0.17018046469241499</v>
      </c>
    </row>
    <row r="69" spans="2:6" x14ac:dyDescent="0.3">
      <c r="B69" s="107"/>
      <c r="C69" s="69"/>
      <c r="D69" s="69">
        <v>26</v>
      </c>
      <c r="E69">
        <v>0.205886082566274</v>
      </c>
      <c r="F69" s="20">
        <v>0.18780440300999601</v>
      </c>
    </row>
    <row r="70" spans="2:6" x14ac:dyDescent="0.3">
      <c r="B70" s="107"/>
      <c r="C70" s="69"/>
      <c r="D70" s="69">
        <v>27</v>
      </c>
      <c r="E70">
        <v>0.2</v>
      </c>
      <c r="F70" s="20">
        <v>0.18801606669200499</v>
      </c>
    </row>
    <row r="71" spans="2:6" x14ac:dyDescent="0.3">
      <c r="B71" s="107"/>
      <c r="C71" s="69"/>
      <c r="D71" s="69">
        <v>28</v>
      </c>
      <c r="E71">
        <v>0.20890348557256799</v>
      </c>
      <c r="F71" s="20">
        <v>0.19071081327418199</v>
      </c>
    </row>
    <row r="72" spans="2:6" x14ac:dyDescent="0.3">
      <c r="B72" s="107"/>
      <c r="C72" s="69"/>
      <c r="D72" s="69">
        <v>29</v>
      </c>
      <c r="E72">
        <v>0.21768405057333701</v>
      </c>
      <c r="F72" s="20">
        <v>0.19801152241574599</v>
      </c>
    </row>
    <row r="73" spans="2:6" x14ac:dyDescent="0.3">
      <c r="B73" s="107" t="s">
        <v>161</v>
      </c>
      <c r="C73" s="69"/>
      <c r="D73" s="69">
        <v>20</v>
      </c>
      <c r="E73">
        <v>0.23476585702539901</v>
      </c>
    </row>
    <row r="74" spans="2:6" x14ac:dyDescent="0.3">
      <c r="B74" s="107"/>
      <c r="C74" s="69"/>
      <c r="D74" s="69">
        <v>21</v>
      </c>
      <c r="E74">
        <v>0.232658570253998</v>
      </c>
    </row>
    <row r="75" spans="2:6" x14ac:dyDescent="0.3">
      <c r="B75" s="107"/>
      <c r="C75" s="69"/>
      <c r="D75" s="69">
        <v>22</v>
      </c>
      <c r="E75">
        <v>0.230176326494059</v>
      </c>
    </row>
    <row r="76" spans="2:6" x14ac:dyDescent="0.3">
      <c r="B76" s="107"/>
      <c r="C76" s="69"/>
      <c r="D76" s="69">
        <v>23</v>
      </c>
      <c r="E76">
        <v>0.22143768405057301</v>
      </c>
    </row>
    <row r="77" spans="2:6" x14ac:dyDescent="0.3">
      <c r="B77" s="107"/>
      <c r="C77" s="69"/>
      <c r="D77" s="69">
        <v>24</v>
      </c>
      <c r="E77">
        <v>0.21479034855725601</v>
      </c>
    </row>
    <row r="78" spans="2:6" x14ac:dyDescent="0.3">
      <c r="B78" s="107"/>
      <c r="C78" s="69"/>
      <c r="D78" s="69">
        <v>25</v>
      </c>
      <c r="E78">
        <v>0.212688608256627</v>
      </c>
    </row>
    <row r="79" spans="2:6" x14ac:dyDescent="0.3">
      <c r="B79" s="107"/>
      <c r="C79" s="69"/>
      <c r="D79" s="69">
        <v>26</v>
      </c>
      <c r="E79">
        <v>0.21</v>
      </c>
    </row>
    <row r="80" spans="2:6" x14ac:dyDescent="0.3">
      <c r="B80" s="107"/>
      <c r="C80" s="69"/>
      <c r="D80" s="69">
        <v>27</v>
      </c>
      <c r="E80">
        <v>0.21258860825662701</v>
      </c>
    </row>
    <row r="81" spans="2:5" x14ac:dyDescent="0.3">
      <c r="B81" s="107"/>
      <c r="C81" s="69"/>
      <c r="D81" s="69">
        <v>28</v>
      </c>
      <c r="E81">
        <v>0.218903485572568</v>
      </c>
    </row>
    <row r="82" spans="2:5" x14ac:dyDescent="0.3">
      <c r="B82" s="107"/>
      <c r="C82" s="69"/>
      <c r="D82" s="69">
        <v>29</v>
      </c>
      <c r="E82">
        <v>0.22768405057333699</v>
      </c>
    </row>
    <row r="83" spans="2:5" x14ac:dyDescent="0.3">
      <c r="B83" s="107" t="s">
        <v>133</v>
      </c>
      <c r="C83" s="69"/>
      <c r="D83" s="69">
        <v>20</v>
      </c>
      <c r="E83" s="69">
        <v>0.11743648053583999</v>
      </c>
    </row>
    <row r="84" spans="2:5" x14ac:dyDescent="0.3">
      <c r="B84" s="107"/>
      <c r="C84" s="69"/>
      <c r="D84" s="69">
        <v>21</v>
      </c>
      <c r="E84" s="69">
        <v>0.11582271279788001</v>
      </c>
    </row>
    <row r="85" spans="2:5" x14ac:dyDescent="0.3">
      <c r="B85" s="107"/>
      <c r="C85" s="69"/>
      <c r="D85" s="69">
        <v>22</v>
      </c>
      <c r="E85" s="69">
        <v>0.112335184732248</v>
      </c>
    </row>
    <row r="86" spans="2:5" x14ac:dyDescent="0.3">
      <c r="B86" s="107"/>
      <c r="C86" s="69"/>
      <c r="D86" s="69">
        <v>23</v>
      </c>
      <c r="E86" s="69">
        <v>0.11093957280430999</v>
      </c>
    </row>
    <row r="87" spans="2:5" x14ac:dyDescent="0.3">
      <c r="B87" s="107"/>
      <c r="C87" s="69"/>
      <c r="D87" s="69">
        <v>24</v>
      </c>
      <c r="E87" s="69">
        <v>0.107397890909167</v>
      </c>
    </row>
    <row r="88" spans="2:5" x14ac:dyDescent="0.3">
      <c r="B88" s="107"/>
      <c r="C88" s="69"/>
      <c r="D88" s="69">
        <v>25</v>
      </c>
      <c r="E88" s="69">
        <v>0.105581143655246</v>
      </c>
    </row>
    <row r="89" spans="2:5" x14ac:dyDescent="0.3">
      <c r="B89" s="107"/>
      <c r="C89" s="69"/>
      <c r="D89" s="69">
        <v>26</v>
      </c>
      <c r="E89" s="69">
        <v>0.102297603493557</v>
      </c>
    </row>
    <row r="90" spans="2:5" x14ac:dyDescent="0.3">
      <c r="B90" s="107"/>
      <c r="C90" s="69"/>
      <c r="D90" s="69">
        <v>27</v>
      </c>
      <c r="E90" s="69">
        <v>0.100189728153289</v>
      </c>
    </row>
    <row r="91" spans="2:5" x14ac:dyDescent="0.3">
      <c r="B91" s="107"/>
      <c r="C91" s="69"/>
      <c r="D91" s="69">
        <v>28</v>
      </c>
      <c r="E91" s="69">
        <v>0.10256</v>
      </c>
    </row>
    <row r="92" spans="2:5" x14ac:dyDescent="0.3">
      <c r="B92" s="107"/>
      <c r="C92" s="69"/>
      <c r="D92" s="69">
        <v>29</v>
      </c>
      <c r="E92" s="69">
        <v>0.103397890909167</v>
      </c>
    </row>
    <row r="93" spans="2:5" x14ac:dyDescent="0.3">
      <c r="B93" s="107" t="s">
        <v>162</v>
      </c>
      <c r="C93" s="69"/>
      <c r="D93" s="69">
        <v>20</v>
      </c>
      <c r="E93" s="69">
        <v>0.13043648053584</v>
      </c>
    </row>
    <row r="94" spans="2:5" x14ac:dyDescent="0.3">
      <c r="B94" s="107"/>
      <c r="C94" s="69"/>
      <c r="D94" s="69">
        <v>21</v>
      </c>
      <c r="E94" s="69">
        <v>0.12482271279788</v>
      </c>
    </row>
    <row r="95" spans="2:5" x14ac:dyDescent="0.3">
      <c r="B95" s="107"/>
      <c r="C95" s="69"/>
      <c r="D95" s="69">
        <v>22</v>
      </c>
      <c r="E95" s="69">
        <v>0.12435184732248</v>
      </c>
    </row>
    <row r="96" spans="2:5" x14ac:dyDescent="0.3">
      <c r="B96" s="107"/>
      <c r="C96" s="69"/>
      <c r="D96" s="69">
        <v>23</v>
      </c>
      <c r="E96" s="69">
        <v>0.12293957280431</v>
      </c>
    </row>
    <row r="97" spans="2:5" x14ac:dyDescent="0.3">
      <c r="B97" s="107"/>
      <c r="C97" s="69"/>
      <c r="D97" s="69">
        <v>24</v>
      </c>
      <c r="E97" s="69">
        <v>0.118397890909167</v>
      </c>
    </row>
    <row r="98" spans="2:5" x14ac:dyDescent="0.3">
      <c r="B98" s="107"/>
      <c r="C98" s="69"/>
      <c r="D98" s="69">
        <v>25</v>
      </c>
      <c r="E98" s="69">
        <v>0.11</v>
      </c>
    </row>
    <row r="99" spans="2:5" x14ac:dyDescent="0.3">
      <c r="B99" s="107"/>
      <c r="C99" s="69"/>
      <c r="D99" s="69">
        <v>26</v>
      </c>
      <c r="E99" s="69">
        <v>0.113297603493557</v>
      </c>
    </row>
    <row r="100" spans="2:5" x14ac:dyDescent="0.3">
      <c r="B100" s="107"/>
      <c r="C100" s="69"/>
      <c r="D100" s="69">
        <v>27</v>
      </c>
      <c r="E100" s="69">
        <v>0.11018972815328899</v>
      </c>
    </row>
    <row r="101" spans="2:5" x14ac:dyDescent="0.3">
      <c r="B101" s="107"/>
      <c r="C101" s="69"/>
      <c r="D101" s="69">
        <v>28</v>
      </c>
      <c r="E101" s="69">
        <v>0.1206</v>
      </c>
    </row>
    <row r="102" spans="2:5" x14ac:dyDescent="0.3">
      <c r="B102" s="107"/>
      <c r="C102" s="69"/>
      <c r="D102" s="69">
        <v>29</v>
      </c>
      <c r="E102" s="69">
        <v>0.122397890909167</v>
      </c>
    </row>
    <row r="103" spans="2:5" x14ac:dyDescent="0.3">
      <c r="B103" s="107" t="s">
        <v>163</v>
      </c>
      <c r="C103" s="69"/>
      <c r="D103" s="69">
        <v>20</v>
      </c>
      <c r="E103">
        <v>9.8722412403840207E-2</v>
      </c>
    </row>
    <row r="104" spans="2:5" x14ac:dyDescent="0.3">
      <c r="B104" s="107"/>
      <c r="C104" s="69"/>
      <c r="D104" s="69">
        <v>21</v>
      </c>
      <c r="E104">
        <v>9.3721959131114599E-2</v>
      </c>
    </row>
    <row r="105" spans="2:5" x14ac:dyDescent="0.3">
      <c r="B105" s="107"/>
      <c r="C105" s="69"/>
      <c r="D105" s="69">
        <v>22</v>
      </c>
      <c r="E105">
        <v>9.17462796155573E-2</v>
      </c>
    </row>
    <row r="106" spans="2:5" x14ac:dyDescent="0.3">
      <c r="B106" s="107"/>
      <c r="C106" s="69"/>
      <c r="D106" s="69">
        <v>23</v>
      </c>
      <c r="E106">
        <v>8.4731739910139395E-2</v>
      </c>
    </row>
    <row r="107" spans="2:5" x14ac:dyDescent="0.3">
      <c r="B107" s="107"/>
      <c r="C107" s="69"/>
      <c r="D107" s="69">
        <v>24</v>
      </c>
      <c r="E107">
        <v>8.1992888840347E-2</v>
      </c>
    </row>
    <row r="108" spans="2:5" x14ac:dyDescent="0.3">
      <c r="B108" s="107"/>
      <c r="C108" s="69"/>
      <c r="D108" s="69">
        <v>25</v>
      </c>
      <c r="E108">
        <v>8.0741046355792406E-2</v>
      </c>
    </row>
    <row r="109" spans="2:5" x14ac:dyDescent="0.3">
      <c r="B109" s="107"/>
      <c r="C109" s="69"/>
      <c r="D109" s="69">
        <v>26</v>
      </c>
      <c r="E109">
        <v>7.5999999999999998E-2</v>
      </c>
    </row>
    <row r="110" spans="2:5" x14ac:dyDescent="0.3">
      <c r="B110" s="107"/>
      <c r="C110" s="69"/>
      <c r="D110" s="69">
        <v>27</v>
      </c>
      <c r="E110">
        <v>8.1741046355792393E-2</v>
      </c>
    </row>
    <row r="111" spans="2:5" x14ac:dyDescent="0.3">
      <c r="B111" s="107"/>
      <c r="C111" s="69"/>
      <c r="D111" s="69">
        <v>28</v>
      </c>
      <c r="E111">
        <v>8.2992888840347001E-2</v>
      </c>
    </row>
    <row r="112" spans="2:5" x14ac:dyDescent="0.3">
      <c r="B112" s="107"/>
      <c r="C112" s="69"/>
      <c r="D112" s="69">
        <v>29</v>
      </c>
      <c r="E112">
        <v>9.17462796155573E-2</v>
      </c>
    </row>
    <row r="113" spans="2:5" x14ac:dyDescent="0.3">
      <c r="B113" s="107" t="s">
        <v>164</v>
      </c>
      <c r="C113" s="69"/>
      <c r="D113" s="69">
        <v>20</v>
      </c>
      <c r="E113">
        <v>0.117224124038402</v>
      </c>
    </row>
    <row r="114" spans="2:5" x14ac:dyDescent="0.3">
      <c r="B114" s="107"/>
      <c r="C114" s="69"/>
      <c r="D114" s="69">
        <v>21</v>
      </c>
      <c r="E114">
        <v>0.117219591311146</v>
      </c>
    </row>
    <row r="115" spans="2:5" x14ac:dyDescent="0.3">
      <c r="B115" s="107"/>
      <c r="C115" s="69"/>
      <c r="D115" s="69">
        <v>22</v>
      </c>
      <c r="E115">
        <v>0.107462796155573</v>
      </c>
    </row>
    <row r="116" spans="2:5" x14ac:dyDescent="0.3">
      <c r="B116" s="107"/>
      <c r="C116" s="69"/>
      <c r="D116" s="69">
        <v>23</v>
      </c>
      <c r="E116">
        <v>9.4731739910139404E-2</v>
      </c>
    </row>
    <row r="117" spans="2:5" x14ac:dyDescent="0.3">
      <c r="B117" s="107"/>
      <c r="C117" s="69"/>
      <c r="D117" s="69">
        <v>24</v>
      </c>
      <c r="E117">
        <v>9.1992888840346995E-2</v>
      </c>
    </row>
    <row r="118" spans="2:5" x14ac:dyDescent="0.3">
      <c r="B118" s="107"/>
      <c r="C118" s="69"/>
      <c r="D118" s="69">
        <v>25</v>
      </c>
      <c r="E118">
        <v>9.0741046355792401E-2</v>
      </c>
    </row>
    <row r="119" spans="2:5" x14ac:dyDescent="0.3">
      <c r="B119" s="107"/>
      <c r="C119" s="69"/>
      <c r="D119" s="69">
        <v>26</v>
      </c>
      <c r="E119">
        <v>8.7999999999999995E-2</v>
      </c>
    </row>
    <row r="120" spans="2:5" x14ac:dyDescent="0.3">
      <c r="B120" s="107"/>
      <c r="C120" s="69"/>
      <c r="D120" s="69">
        <v>27</v>
      </c>
      <c r="E120">
        <v>8.1000000000000003E-2</v>
      </c>
    </row>
    <row r="121" spans="2:5" x14ac:dyDescent="0.3">
      <c r="B121" s="107"/>
      <c r="C121" s="69"/>
      <c r="D121" s="69">
        <v>28</v>
      </c>
      <c r="E121">
        <v>9.1741046355792402E-2</v>
      </c>
    </row>
    <row r="122" spans="2:5" x14ac:dyDescent="0.3">
      <c r="B122" s="107"/>
      <c r="C122" s="69"/>
      <c r="D122" s="69">
        <v>29</v>
      </c>
      <c r="E122">
        <v>0.107462796155573</v>
      </c>
    </row>
  </sheetData>
  <mergeCells count="14">
    <mergeCell ref="A1:A61"/>
    <mergeCell ref="B103:B112"/>
    <mergeCell ref="B113:B122"/>
    <mergeCell ref="B62:K62"/>
    <mergeCell ref="B63:B72"/>
    <mergeCell ref="B73:B82"/>
    <mergeCell ref="B83:B92"/>
    <mergeCell ref="B93:B102"/>
    <mergeCell ref="B52:B61"/>
    <mergeCell ref="B2:B11"/>
    <mergeCell ref="B12:B21"/>
    <mergeCell ref="B22:B31"/>
    <mergeCell ref="B32:B41"/>
    <mergeCell ref="B42:B5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AE47-1ACE-4771-B86E-F6CA00F4253A}">
  <dimension ref="A1:C100"/>
  <sheetViews>
    <sheetView workbookViewId="0">
      <selection activeCell="N16" sqref="N16"/>
    </sheetView>
  </sheetViews>
  <sheetFormatPr defaultRowHeight="14.4" x14ac:dyDescent="0.3"/>
  <cols>
    <col min="1" max="1" width="13.44140625" bestFit="1" customWidth="1"/>
  </cols>
  <sheetData>
    <row r="1" spans="1:3" x14ac:dyDescent="0.3">
      <c r="A1" t="s">
        <v>30</v>
      </c>
      <c r="B1" t="s">
        <v>26</v>
      </c>
      <c r="C1" t="s">
        <v>7</v>
      </c>
    </row>
    <row r="2" spans="1:3" x14ac:dyDescent="0.3">
      <c r="A2" s="90" t="s">
        <v>94</v>
      </c>
      <c r="B2">
        <v>20</v>
      </c>
      <c r="C2">
        <v>16.22</v>
      </c>
    </row>
    <row r="3" spans="1:3" x14ac:dyDescent="0.3">
      <c r="A3" s="90"/>
      <c r="B3">
        <v>21</v>
      </c>
      <c r="C3">
        <v>15.85</v>
      </c>
    </row>
    <row r="4" spans="1:3" x14ac:dyDescent="0.3">
      <c r="A4" s="90"/>
      <c r="B4">
        <v>22</v>
      </c>
      <c r="C4">
        <v>15.34</v>
      </c>
    </row>
    <row r="5" spans="1:3" x14ac:dyDescent="0.3">
      <c r="A5" s="90"/>
      <c r="B5">
        <v>23</v>
      </c>
      <c r="C5">
        <v>15.12</v>
      </c>
    </row>
    <row r="6" spans="1:3" x14ac:dyDescent="0.3">
      <c r="A6" s="90"/>
      <c r="B6">
        <v>24</v>
      </c>
      <c r="C6">
        <v>14.9</v>
      </c>
    </row>
    <row r="7" spans="1:3" x14ac:dyDescent="0.3">
      <c r="A7" s="90"/>
      <c r="B7">
        <v>25</v>
      </c>
      <c r="C7">
        <v>14.58</v>
      </c>
    </row>
    <row r="8" spans="1:3" x14ac:dyDescent="0.3">
      <c r="A8" s="90"/>
      <c r="B8">
        <v>26</v>
      </c>
      <c r="C8">
        <v>14.04</v>
      </c>
    </row>
    <row r="9" spans="1:3" x14ac:dyDescent="0.3">
      <c r="A9" s="90"/>
      <c r="B9">
        <v>27</v>
      </c>
      <c r="C9">
        <v>14.82</v>
      </c>
    </row>
    <row r="10" spans="1:3" x14ac:dyDescent="0.3">
      <c r="A10" s="90"/>
      <c r="B10">
        <v>28</v>
      </c>
      <c r="C10">
        <v>15.28</v>
      </c>
    </row>
    <row r="11" spans="1:3" x14ac:dyDescent="0.3">
      <c r="A11" s="90"/>
      <c r="B11">
        <v>29</v>
      </c>
      <c r="C11">
        <v>15.74</v>
      </c>
    </row>
    <row r="12" spans="1:3" x14ac:dyDescent="0.3">
      <c r="A12" s="90"/>
      <c r="B12">
        <v>30</v>
      </c>
      <c r="C12">
        <v>16.18</v>
      </c>
    </row>
    <row r="13" spans="1:3" x14ac:dyDescent="0.3">
      <c r="A13" s="90" t="s">
        <v>0</v>
      </c>
      <c r="B13">
        <v>20</v>
      </c>
      <c r="C13">
        <v>18.5</v>
      </c>
    </row>
    <row r="14" spans="1:3" x14ac:dyDescent="0.3">
      <c r="A14" s="90"/>
      <c r="B14">
        <v>21</v>
      </c>
      <c r="C14">
        <v>17.96</v>
      </c>
    </row>
    <row r="15" spans="1:3" x14ac:dyDescent="0.3">
      <c r="A15" s="90"/>
      <c r="B15">
        <v>22</v>
      </c>
      <c r="C15">
        <v>17.11</v>
      </c>
    </row>
    <row r="16" spans="1:3" x14ac:dyDescent="0.3">
      <c r="A16" s="90"/>
      <c r="B16">
        <v>23</v>
      </c>
      <c r="C16">
        <v>16.5</v>
      </c>
    </row>
    <row r="17" spans="1:3" x14ac:dyDescent="0.3">
      <c r="A17" s="90"/>
      <c r="B17">
        <v>24</v>
      </c>
      <c r="C17">
        <v>15.8</v>
      </c>
    </row>
    <row r="18" spans="1:3" x14ac:dyDescent="0.3">
      <c r="A18" s="90"/>
      <c r="B18">
        <v>25</v>
      </c>
      <c r="C18">
        <v>15.42</v>
      </c>
    </row>
    <row r="19" spans="1:3" x14ac:dyDescent="0.3">
      <c r="A19" s="90"/>
      <c r="B19">
        <v>26</v>
      </c>
      <c r="C19">
        <v>14.91</v>
      </c>
    </row>
    <row r="20" spans="1:3" x14ac:dyDescent="0.3">
      <c r="A20" s="90"/>
      <c r="B20">
        <v>27</v>
      </c>
      <c r="C20">
        <v>15.34</v>
      </c>
    </row>
    <row r="21" spans="1:3" x14ac:dyDescent="0.3">
      <c r="A21" s="90"/>
      <c r="B21">
        <v>28</v>
      </c>
      <c r="C21">
        <v>15.93</v>
      </c>
    </row>
    <row r="22" spans="1:3" x14ac:dyDescent="0.3">
      <c r="A22" s="90"/>
      <c r="B22">
        <v>29</v>
      </c>
      <c r="C22">
        <v>16.48</v>
      </c>
    </row>
    <row r="23" spans="1:3" x14ac:dyDescent="0.3">
      <c r="A23" s="90"/>
      <c r="B23">
        <v>30</v>
      </c>
      <c r="C23">
        <v>17.02</v>
      </c>
    </row>
    <row r="24" spans="1:3" x14ac:dyDescent="0.3">
      <c r="A24" s="90" t="s">
        <v>6</v>
      </c>
      <c r="B24">
        <v>20</v>
      </c>
      <c r="C24">
        <v>23.16</v>
      </c>
    </row>
    <row r="25" spans="1:3" x14ac:dyDescent="0.3">
      <c r="A25" s="90"/>
      <c r="B25">
        <v>21</v>
      </c>
      <c r="C25">
        <v>22.85</v>
      </c>
    </row>
    <row r="26" spans="1:3" x14ac:dyDescent="0.3">
      <c r="A26" s="90"/>
      <c r="B26">
        <v>22</v>
      </c>
      <c r="C26">
        <v>22.66</v>
      </c>
    </row>
    <row r="27" spans="1:3" x14ac:dyDescent="0.3">
      <c r="A27" s="90"/>
      <c r="B27">
        <v>23</v>
      </c>
      <c r="C27">
        <v>22.43</v>
      </c>
    </row>
    <row r="28" spans="1:3" x14ac:dyDescent="0.3">
      <c r="A28" s="90"/>
      <c r="B28">
        <v>24</v>
      </c>
      <c r="C28">
        <v>22.08</v>
      </c>
    </row>
    <row r="29" spans="1:3" x14ac:dyDescent="0.3">
      <c r="A29" s="90"/>
      <c r="B29">
        <v>25</v>
      </c>
      <c r="C29">
        <v>21.39</v>
      </c>
    </row>
    <row r="30" spans="1:3" x14ac:dyDescent="0.3">
      <c r="A30" s="90"/>
      <c r="B30">
        <v>26</v>
      </c>
      <c r="C30">
        <v>21.53</v>
      </c>
    </row>
    <row r="31" spans="1:3" x14ac:dyDescent="0.3">
      <c r="A31" s="90"/>
      <c r="B31">
        <v>27</v>
      </c>
      <c r="C31">
        <v>21.83</v>
      </c>
    </row>
    <row r="32" spans="1:3" x14ac:dyDescent="0.3">
      <c r="A32" s="90"/>
      <c r="B32">
        <v>28</v>
      </c>
      <c r="C32">
        <v>21.91</v>
      </c>
    </row>
    <row r="33" spans="1:3" x14ac:dyDescent="0.3">
      <c r="A33" s="90"/>
      <c r="B33">
        <v>29</v>
      </c>
      <c r="C33">
        <v>22.32</v>
      </c>
    </row>
    <row r="34" spans="1:3" x14ac:dyDescent="0.3">
      <c r="A34" s="90"/>
      <c r="B34">
        <v>30</v>
      </c>
      <c r="C34">
        <v>22.75</v>
      </c>
    </row>
    <row r="35" spans="1:3" x14ac:dyDescent="0.3">
      <c r="A35" s="90" t="s">
        <v>96</v>
      </c>
      <c r="B35">
        <v>20</v>
      </c>
      <c r="C35">
        <v>19.45</v>
      </c>
    </row>
    <row r="36" spans="1:3" x14ac:dyDescent="0.3">
      <c r="A36" s="90"/>
      <c r="B36">
        <v>21</v>
      </c>
      <c r="C36">
        <v>18.95</v>
      </c>
    </row>
    <row r="37" spans="1:3" x14ac:dyDescent="0.3">
      <c r="A37" s="90"/>
      <c r="B37">
        <v>22</v>
      </c>
      <c r="C37">
        <v>18.52</v>
      </c>
    </row>
    <row r="38" spans="1:3" x14ac:dyDescent="0.3">
      <c r="A38" s="90"/>
      <c r="B38">
        <v>23</v>
      </c>
      <c r="C38">
        <v>17.260000000000002</v>
      </c>
    </row>
    <row r="39" spans="1:3" x14ac:dyDescent="0.3">
      <c r="A39" s="90"/>
      <c r="B39">
        <v>24</v>
      </c>
      <c r="C39">
        <v>16.59</v>
      </c>
    </row>
    <row r="40" spans="1:3" x14ac:dyDescent="0.3">
      <c r="A40" s="90"/>
      <c r="B40">
        <v>25</v>
      </c>
      <c r="C40">
        <v>15.23</v>
      </c>
    </row>
    <row r="41" spans="1:3" x14ac:dyDescent="0.3">
      <c r="A41" s="90"/>
      <c r="B41">
        <v>26</v>
      </c>
      <c r="C41">
        <v>14.52</v>
      </c>
    </row>
    <row r="42" spans="1:3" x14ac:dyDescent="0.3">
      <c r="A42" s="90"/>
      <c r="B42">
        <v>27</v>
      </c>
      <c r="C42">
        <v>14.89</v>
      </c>
    </row>
    <row r="43" spans="1:3" x14ac:dyDescent="0.3">
      <c r="A43" s="90"/>
      <c r="B43">
        <v>28</v>
      </c>
      <c r="C43">
        <v>15.56</v>
      </c>
    </row>
    <row r="44" spans="1:3" x14ac:dyDescent="0.3">
      <c r="A44" s="90"/>
      <c r="B44">
        <v>29</v>
      </c>
      <c r="C44">
        <v>15.97</v>
      </c>
    </row>
    <row r="45" spans="1:3" x14ac:dyDescent="0.3">
      <c r="A45" s="90"/>
      <c r="B45">
        <v>30</v>
      </c>
      <c r="C45">
        <v>16.86</v>
      </c>
    </row>
    <row r="46" spans="1:3" x14ac:dyDescent="0.3">
      <c r="A46" s="90" t="s">
        <v>1</v>
      </c>
      <c r="B46">
        <v>20</v>
      </c>
      <c r="C46">
        <v>20.49</v>
      </c>
    </row>
    <row r="47" spans="1:3" x14ac:dyDescent="0.3">
      <c r="A47" s="90"/>
      <c r="B47">
        <v>21</v>
      </c>
      <c r="C47">
        <v>19.57</v>
      </c>
    </row>
    <row r="48" spans="1:3" x14ac:dyDescent="0.3">
      <c r="A48" s="90"/>
      <c r="B48">
        <v>22</v>
      </c>
      <c r="C48">
        <v>18.52</v>
      </c>
    </row>
    <row r="49" spans="1:3" x14ac:dyDescent="0.3">
      <c r="A49" s="90"/>
      <c r="B49">
        <v>23</v>
      </c>
      <c r="C49">
        <v>17.52</v>
      </c>
    </row>
    <row r="50" spans="1:3" x14ac:dyDescent="0.3">
      <c r="A50" s="90"/>
      <c r="B50">
        <v>24</v>
      </c>
      <c r="C50">
        <v>16.59</v>
      </c>
    </row>
    <row r="51" spans="1:3" x14ac:dyDescent="0.3">
      <c r="A51" s="90"/>
      <c r="B51">
        <v>25</v>
      </c>
      <c r="C51">
        <v>15</v>
      </c>
    </row>
    <row r="52" spans="1:3" x14ac:dyDescent="0.3">
      <c r="A52" s="90"/>
      <c r="B52">
        <v>26</v>
      </c>
      <c r="C52">
        <v>14.52</v>
      </c>
    </row>
    <row r="53" spans="1:3" x14ac:dyDescent="0.3">
      <c r="A53" s="90"/>
      <c r="B53">
        <v>27</v>
      </c>
      <c r="C53">
        <v>14.24</v>
      </c>
    </row>
    <row r="54" spans="1:3" x14ac:dyDescent="0.3">
      <c r="A54" s="90"/>
      <c r="B54">
        <v>28</v>
      </c>
      <c r="C54">
        <v>14.22</v>
      </c>
    </row>
    <row r="55" spans="1:3" x14ac:dyDescent="0.3">
      <c r="A55" s="90"/>
      <c r="B55">
        <v>29</v>
      </c>
      <c r="C55">
        <v>14.45</v>
      </c>
    </row>
    <row r="56" spans="1:3" x14ac:dyDescent="0.3">
      <c r="A56" s="90"/>
      <c r="B56">
        <v>30</v>
      </c>
      <c r="C56">
        <v>15</v>
      </c>
    </row>
    <row r="57" spans="1:3" x14ac:dyDescent="0.3">
      <c r="A57" s="90" t="s">
        <v>2</v>
      </c>
      <c r="B57">
        <v>20</v>
      </c>
      <c r="C57">
        <v>25.36</v>
      </c>
    </row>
    <row r="58" spans="1:3" x14ac:dyDescent="0.3">
      <c r="A58" s="90"/>
      <c r="B58">
        <v>21</v>
      </c>
      <c r="C58">
        <v>25.19</v>
      </c>
    </row>
    <row r="59" spans="1:3" x14ac:dyDescent="0.3">
      <c r="A59" s="90"/>
      <c r="B59">
        <v>22</v>
      </c>
      <c r="C59">
        <v>24.9</v>
      </c>
    </row>
    <row r="60" spans="1:3" x14ac:dyDescent="0.3">
      <c r="A60" s="90"/>
      <c r="B60">
        <v>23</v>
      </c>
      <c r="C60">
        <v>23.97</v>
      </c>
    </row>
    <row r="61" spans="1:3" x14ac:dyDescent="0.3">
      <c r="A61" s="90"/>
      <c r="B61">
        <v>24</v>
      </c>
      <c r="C61">
        <v>23.88</v>
      </c>
    </row>
    <row r="62" spans="1:3" x14ac:dyDescent="0.3">
      <c r="A62" s="90"/>
      <c r="B62">
        <v>25</v>
      </c>
      <c r="C62">
        <v>23.73</v>
      </c>
    </row>
    <row r="63" spans="1:3" x14ac:dyDescent="0.3">
      <c r="A63" s="90"/>
      <c r="B63">
        <v>26</v>
      </c>
      <c r="C63">
        <v>23.4</v>
      </c>
    </row>
    <row r="64" spans="1:3" x14ac:dyDescent="0.3">
      <c r="A64" s="90"/>
      <c r="B64">
        <v>27</v>
      </c>
      <c r="C64">
        <v>23.51</v>
      </c>
    </row>
    <row r="65" spans="1:3" x14ac:dyDescent="0.3">
      <c r="A65" s="90"/>
      <c r="B65">
        <v>28</v>
      </c>
      <c r="C65">
        <v>23.62</v>
      </c>
    </row>
    <row r="66" spans="1:3" x14ac:dyDescent="0.3">
      <c r="A66" s="90"/>
      <c r="B66">
        <v>29</v>
      </c>
      <c r="C66">
        <v>23.73</v>
      </c>
    </row>
    <row r="67" spans="1:3" x14ac:dyDescent="0.3">
      <c r="A67" s="90"/>
      <c r="B67">
        <v>30</v>
      </c>
      <c r="C67">
        <v>23.87</v>
      </c>
    </row>
    <row r="68" spans="1:3" x14ac:dyDescent="0.3">
      <c r="A68" s="90" t="s">
        <v>97</v>
      </c>
      <c r="B68">
        <v>20</v>
      </c>
      <c r="C68">
        <v>18.54</v>
      </c>
    </row>
    <row r="69" spans="1:3" x14ac:dyDescent="0.3">
      <c r="A69" s="90"/>
      <c r="B69">
        <v>21</v>
      </c>
      <c r="C69">
        <v>17.98</v>
      </c>
    </row>
    <row r="70" spans="1:3" x14ac:dyDescent="0.3">
      <c r="A70" s="90"/>
      <c r="B70">
        <v>22</v>
      </c>
      <c r="C70">
        <v>17.649999999999999</v>
      </c>
    </row>
    <row r="71" spans="1:3" x14ac:dyDescent="0.3">
      <c r="A71" s="90"/>
      <c r="B71">
        <v>23</v>
      </c>
      <c r="C71">
        <v>17.13</v>
      </c>
    </row>
    <row r="72" spans="1:3" x14ac:dyDescent="0.3">
      <c r="A72" s="90"/>
      <c r="B72">
        <v>24</v>
      </c>
      <c r="C72">
        <v>16.45</v>
      </c>
    </row>
    <row r="73" spans="1:3" x14ac:dyDescent="0.3">
      <c r="A73" s="90"/>
      <c r="B73">
        <v>25</v>
      </c>
      <c r="C73">
        <v>15.36</v>
      </c>
    </row>
    <row r="74" spans="1:3" x14ac:dyDescent="0.3">
      <c r="A74" s="90"/>
      <c r="B74">
        <v>26</v>
      </c>
      <c r="C74">
        <v>14.69</v>
      </c>
    </row>
    <row r="75" spans="1:3" x14ac:dyDescent="0.3">
      <c r="A75" s="90"/>
      <c r="B75">
        <v>27</v>
      </c>
      <c r="C75">
        <v>14.95</v>
      </c>
    </row>
    <row r="76" spans="1:3" x14ac:dyDescent="0.3">
      <c r="A76" s="90"/>
      <c r="B76">
        <v>28</v>
      </c>
      <c r="C76">
        <v>15.65</v>
      </c>
    </row>
    <row r="77" spans="1:3" x14ac:dyDescent="0.3">
      <c r="A77" s="90"/>
      <c r="B77">
        <v>29</v>
      </c>
      <c r="C77">
        <v>16.23</v>
      </c>
    </row>
    <row r="78" spans="1:3" x14ac:dyDescent="0.3">
      <c r="A78" s="90"/>
      <c r="B78">
        <v>30</v>
      </c>
      <c r="C78">
        <v>16.86</v>
      </c>
    </row>
    <row r="79" spans="1:3" x14ac:dyDescent="0.3">
      <c r="A79" s="90" t="s">
        <v>3</v>
      </c>
      <c r="B79">
        <v>20</v>
      </c>
      <c r="C79">
        <v>19.86</v>
      </c>
    </row>
    <row r="80" spans="1:3" x14ac:dyDescent="0.3">
      <c r="A80" s="90"/>
      <c r="B80">
        <v>21</v>
      </c>
      <c r="C80">
        <v>19.23</v>
      </c>
    </row>
    <row r="81" spans="1:3" x14ac:dyDescent="0.3">
      <c r="A81" s="90"/>
      <c r="B81">
        <v>22</v>
      </c>
      <c r="C81">
        <v>18.52</v>
      </c>
    </row>
    <row r="82" spans="1:3" x14ac:dyDescent="0.3">
      <c r="A82" s="90"/>
      <c r="B82">
        <v>23</v>
      </c>
      <c r="C82">
        <v>17.760000000000002</v>
      </c>
    </row>
    <row r="83" spans="1:3" x14ac:dyDescent="0.3">
      <c r="A83" s="90"/>
      <c r="B83">
        <v>24</v>
      </c>
      <c r="C83">
        <v>16.64</v>
      </c>
    </row>
    <row r="84" spans="1:3" x14ac:dyDescent="0.3">
      <c r="A84" s="90"/>
      <c r="B84">
        <v>25</v>
      </c>
      <c r="C84">
        <v>15.26</v>
      </c>
    </row>
    <row r="85" spans="1:3" x14ac:dyDescent="0.3">
      <c r="A85" s="90"/>
      <c r="B85">
        <v>26</v>
      </c>
      <c r="C85">
        <v>15.56</v>
      </c>
    </row>
    <row r="86" spans="1:3" x14ac:dyDescent="0.3">
      <c r="A86" s="90"/>
      <c r="B86">
        <v>27</v>
      </c>
      <c r="C86">
        <v>16.02</v>
      </c>
    </row>
    <row r="87" spans="1:3" x14ac:dyDescent="0.3">
      <c r="A87" s="90"/>
      <c r="B87">
        <v>28</v>
      </c>
      <c r="C87">
        <v>16.86</v>
      </c>
    </row>
    <row r="88" spans="1:3" x14ac:dyDescent="0.3">
      <c r="A88" s="90"/>
      <c r="B88">
        <v>29</v>
      </c>
      <c r="C88">
        <v>17.16</v>
      </c>
    </row>
    <row r="89" spans="1:3" x14ac:dyDescent="0.3">
      <c r="A89" s="90"/>
      <c r="B89">
        <v>30</v>
      </c>
      <c r="C89">
        <v>17.690000000000001</v>
      </c>
    </row>
    <row r="90" spans="1:3" x14ac:dyDescent="0.3">
      <c r="A90" s="90" t="s">
        <v>4</v>
      </c>
      <c r="B90">
        <v>20</v>
      </c>
      <c r="C90">
        <v>24.81</v>
      </c>
    </row>
    <row r="91" spans="1:3" x14ac:dyDescent="0.3">
      <c r="A91" s="90"/>
      <c r="B91">
        <v>21</v>
      </c>
      <c r="C91">
        <v>24.36</v>
      </c>
    </row>
    <row r="92" spans="1:3" x14ac:dyDescent="0.3">
      <c r="A92" s="90"/>
      <c r="B92">
        <v>22</v>
      </c>
      <c r="C92">
        <v>23.67</v>
      </c>
    </row>
    <row r="93" spans="1:3" x14ac:dyDescent="0.3">
      <c r="A93" s="90"/>
      <c r="B93">
        <v>23</v>
      </c>
      <c r="C93">
        <v>23.16</v>
      </c>
    </row>
    <row r="94" spans="1:3" x14ac:dyDescent="0.3">
      <c r="A94" s="90"/>
      <c r="B94">
        <v>24</v>
      </c>
      <c r="C94">
        <v>22.69</v>
      </c>
    </row>
    <row r="95" spans="1:3" x14ac:dyDescent="0.3">
      <c r="A95" s="90"/>
      <c r="B95">
        <v>25</v>
      </c>
      <c r="C95">
        <v>22.06</v>
      </c>
    </row>
    <row r="96" spans="1:3" x14ac:dyDescent="0.3">
      <c r="A96" s="90"/>
      <c r="B96">
        <v>26</v>
      </c>
      <c r="C96">
        <v>23.49</v>
      </c>
    </row>
    <row r="97" spans="1:3" x14ac:dyDescent="0.3">
      <c r="A97" s="90"/>
      <c r="B97">
        <v>27</v>
      </c>
      <c r="C97">
        <v>23.91</v>
      </c>
    </row>
    <row r="98" spans="1:3" x14ac:dyDescent="0.3">
      <c r="A98" s="90"/>
      <c r="B98">
        <v>28</v>
      </c>
      <c r="C98">
        <v>24.24</v>
      </c>
    </row>
    <row r="99" spans="1:3" x14ac:dyDescent="0.3">
      <c r="A99" s="90"/>
      <c r="B99">
        <v>29</v>
      </c>
      <c r="C99">
        <v>24.98</v>
      </c>
    </row>
    <row r="100" spans="1:3" x14ac:dyDescent="0.3">
      <c r="A100" s="90"/>
      <c r="B100">
        <v>30</v>
      </c>
      <c r="C100">
        <v>25.26</v>
      </c>
    </row>
  </sheetData>
  <mergeCells count="9">
    <mergeCell ref="A2:A12"/>
    <mergeCell ref="A68:A78"/>
    <mergeCell ref="A79:A89"/>
    <mergeCell ref="A90:A100"/>
    <mergeCell ref="A13:A23"/>
    <mergeCell ref="A24:A34"/>
    <mergeCell ref="A46:A56"/>
    <mergeCell ref="A57:A67"/>
    <mergeCell ref="A35:A4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BA1B-2343-4D92-8C5A-89B32CB201D0}">
  <dimension ref="F2:G11"/>
  <sheetViews>
    <sheetView workbookViewId="0">
      <selection activeCell="F2" sqref="F2:F11"/>
    </sheetView>
  </sheetViews>
  <sheetFormatPr defaultRowHeight="14.4" x14ac:dyDescent="0.3"/>
  <cols>
    <col min="4" max="4" width="8.6640625" customWidth="1"/>
    <col min="5" max="5" width="29.88671875" bestFit="1" customWidth="1"/>
    <col min="6" max="6" width="29.88671875" customWidth="1"/>
    <col min="7" max="8" width="29.88671875" bestFit="1" customWidth="1"/>
    <col min="9" max="9" width="12" bestFit="1" customWidth="1"/>
  </cols>
  <sheetData>
    <row r="2" spans="6:7" x14ac:dyDescent="0.3">
      <c r="F2" s="20">
        <v>0.152363697256165</v>
      </c>
      <c r="G2">
        <v>20</v>
      </c>
    </row>
    <row r="3" spans="6:7" x14ac:dyDescent="0.3">
      <c r="F3" s="20">
        <v>0.149072561872784</v>
      </c>
      <c r="G3">
        <v>21</v>
      </c>
    </row>
    <row r="4" spans="6:7" x14ac:dyDescent="0.3">
      <c r="F4" s="20">
        <v>0.15985637161968999</v>
      </c>
      <c r="G4">
        <v>22</v>
      </c>
    </row>
    <row r="5" spans="6:7" x14ac:dyDescent="0.3">
      <c r="F5" s="20">
        <v>0.15992374952462801</v>
      </c>
      <c r="G5">
        <v>23</v>
      </c>
    </row>
    <row r="6" spans="6:7" x14ac:dyDescent="0.3">
      <c r="F6" s="20">
        <v>0.16365597442063601</v>
      </c>
      <c r="G6">
        <v>24</v>
      </c>
    </row>
    <row r="7" spans="6:7" x14ac:dyDescent="0.3">
      <c r="F7" s="20">
        <v>0.17018046469241499</v>
      </c>
      <c r="G7">
        <v>25</v>
      </c>
    </row>
    <row r="8" spans="6:7" x14ac:dyDescent="0.3">
      <c r="F8" s="20">
        <v>0.18780440300999601</v>
      </c>
      <c r="G8">
        <v>26</v>
      </c>
    </row>
    <row r="9" spans="6:7" x14ac:dyDescent="0.3">
      <c r="F9" s="20">
        <v>0.18801606669200499</v>
      </c>
      <c r="G9">
        <v>27</v>
      </c>
    </row>
    <row r="10" spans="6:7" x14ac:dyDescent="0.3">
      <c r="F10" s="20">
        <v>0.19071081327418199</v>
      </c>
      <c r="G10">
        <v>28</v>
      </c>
    </row>
    <row r="11" spans="6:7" x14ac:dyDescent="0.3">
      <c r="F11" s="20">
        <v>0.19801152241574599</v>
      </c>
      <c r="G11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2B58-26A0-49BE-9FEB-EAA0720E4D57}">
  <dimension ref="A1:C100"/>
  <sheetViews>
    <sheetView workbookViewId="0">
      <selection activeCell="M43" sqref="M43"/>
    </sheetView>
  </sheetViews>
  <sheetFormatPr defaultRowHeight="14.4" x14ac:dyDescent="0.3"/>
  <cols>
    <col min="1" max="1" width="13.44140625" bestFit="1" customWidth="1"/>
  </cols>
  <sheetData>
    <row r="1" spans="1:3" x14ac:dyDescent="0.3">
      <c r="A1" t="s">
        <v>30</v>
      </c>
      <c r="B1" t="s">
        <v>26</v>
      </c>
      <c r="C1" t="s">
        <v>7</v>
      </c>
    </row>
    <row r="2" spans="1:3" x14ac:dyDescent="0.3">
      <c r="A2" s="90" t="s">
        <v>94</v>
      </c>
      <c r="B2">
        <v>20</v>
      </c>
      <c r="C2">
        <v>16.22</v>
      </c>
    </row>
    <row r="3" spans="1:3" x14ac:dyDescent="0.3">
      <c r="A3" s="90"/>
      <c r="B3">
        <v>21</v>
      </c>
      <c r="C3">
        <v>15.85</v>
      </c>
    </row>
    <row r="4" spans="1:3" x14ac:dyDescent="0.3">
      <c r="A4" s="90"/>
      <c r="B4">
        <v>22</v>
      </c>
      <c r="C4">
        <v>15.34</v>
      </c>
    </row>
    <row r="5" spans="1:3" x14ac:dyDescent="0.3">
      <c r="A5" s="90"/>
      <c r="B5">
        <v>23</v>
      </c>
      <c r="C5">
        <v>15.12</v>
      </c>
    </row>
    <row r="6" spans="1:3" x14ac:dyDescent="0.3">
      <c r="A6" s="90"/>
      <c r="B6">
        <v>24</v>
      </c>
      <c r="C6">
        <v>14.9</v>
      </c>
    </row>
    <row r="7" spans="1:3" x14ac:dyDescent="0.3">
      <c r="A7" s="90"/>
      <c r="B7">
        <v>25</v>
      </c>
      <c r="C7">
        <v>14.58</v>
      </c>
    </row>
    <row r="8" spans="1:3" x14ac:dyDescent="0.3">
      <c r="A8" s="90"/>
      <c r="B8">
        <v>26</v>
      </c>
      <c r="C8">
        <v>14.04</v>
      </c>
    </row>
    <row r="9" spans="1:3" x14ac:dyDescent="0.3">
      <c r="A9" s="90"/>
      <c r="B9">
        <v>27</v>
      </c>
      <c r="C9">
        <v>14.82</v>
      </c>
    </row>
    <row r="10" spans="1:3" x14ac:dyDescent="0.3">
      <c r="A10" s="90"/>
      <c r="B10">
        <v>28</v>
      </c>
      <c r="C10">
        <v>15.28</v>
      </c>
    </row>
    <row r="11" spans="1:3" x14ac:dyDescent="0.3">
      <c r="A11" s="90"/>
      <c r="B11">
        <v>29</v>
      </c>
      <c r="C11">
        <v>15.74</v>
      </c>
    </row>
    <row r="12" spans="1:3" x14ac:dyDescent="0.3">
      <c r="A12" s="90"/>
      <c r="B12">
        <v>30</v>
      </c>
      <c r="C12">
        <v>16.18</v>
      </c>
    </row>
    <row r="13" spans="1:3" x14ac:dyDescent="0.3">
      <c r="A13" s="90" t="s">
        <v>0</v>
      </c>
      <c r="B13">
        <v>20</v>
      </c>
      <c r="C13">
        <v>18.5</v>
      </c>
    </row>
    <row r="14" spans="1:3" x14ac:dyDescent="0.3">
      <c r="A14" s="90"/>
      <c r="B14">
        <v>21</v>
      </c>
      <c r="C14">
        <v>17.96</v>
      </c>
    </row>
    <row r="15" spans="1:3" x14ac:dyDescent="0.3">
      <c r="A15" s="90"/>
      <c r="B15">
        <v>22</v>
      </c>
      <c r="C15">
        <v>17.11</v>
      </c>
    </row>
    <row r="16" spans="1:3" x14ac:dyDescent="0.3">
      <c r="A16" s="90"/>
      <c r="B16">
        <v>23</v>
      </c>
      <c r="C16">
        <v>16.5</v>
      </c>
    </row>
    <row r="17" spans="1:3" x14ac:dyDescent="0.3">
      <c r="A17" s="90"/>
      <c r="B17">
        <v>24</v>
      </c>
      <c r="C17">
        <v>15.8</v>
      </c>
    </row>
    <row r="18" spans="1:3" x14ac:dyDescent="0.3">
      <c r="A18" s="90"/>
      <c r="B18">
        <v>25</v>
      </c>
      <c r="C18">
        <v>15.42</v>
      </c>
    </row>
    <row r="19" spans="1:3" x14ac:dyDescent="0.3">
      <c r="A19" s="90"/>
      <c r="B19">
        <v>26</v>
      </c>
      <c r="C19">
        <v>14.91</v>
      </c>
    </row>
    <row r="20" spans="1:3" x14ac:dyDescent="0.3">
      <c r="A20" s="90"/>
      <c r="B20">
        <v>27</v>
      </c>
      <c r="C20">
        <v>15.34</v>
      </c>
    </row>
    <row r="21" spans="1:3" x14ac:dyDescent="0.3">
      <c r="A21" s="90"/>
      <c r="B21">
        <v>28</v>
      </c>
      <c r="C21">
        <v>15.93</v>
      </c>
    </row>
    <row r="22" spans="1:3" x14ac:dyDescent="0.3">
      <c r="A22" s="90"/>
      <c r="B22">
        <v>29</v>
      </c>
      <c r="C22">
        <v>16.48</v>
      </c>
    </row>
    <row r="23" spans="1:3" x14ac:dyDescent="0.3">
      <c r="A23" s="90"/>
      <c r="B23">
        <v>30</v>
      </c>
      <c r="C23">
        <v>17.02</v>
      </c>
    </row>
    <row r="24" spans="1:3" x14ac:dyDescent="0.3">
      <c r="A24" s="90" t="s">
        <v>6</v>
      </c>
      <c r="B24">
        <v>20</v>
      </c>
      <c r="C24">
        <v>23.16</v>
      </c>
    </row>
    <row r="25" spans="1:3" x14ac:dyDescent="0.3">
      <c r="A25" s="90"/>
      <c r="B25">
        <v>21</v>
      </c>
      <c r="C25">
        <v>22.85</v>
      </c>
    </row>
    <row r="26" spans="1:3" x14ac:dyDescent="0.3">
      <c r="A26" s="90"/>
      <c r="B26">
        <v>22</v>
      </c>
      <c r="C26">
        <v>22.66</v>
      </c>
    </row>
    <row r="27" spans="1:3" x14ac:dyDescent="0.3">
      <c r="A27" s="90"/>
      <c r="B27">
        <v>23</v>
      </c>
      <c r="C27">
        <v>22.43</v>
      </c>
    </row>
    <row r="28" spans="1:3" x14ac:dyDescent="0.3">
      <c r="A28" s="90"/>
      <c r="B28">
        <v>24</v>
      </c>
      <c r="C28">
        <v>22.08</v>
      </c>
    </row>
    <row r="29" spans="1:3" x14ac:dyDescent="0.3">
      <c r="A29" s="90"/>
      <c r="B29">
        <v>25</v>
      </c>
      <c r="C29">
        <v>21.39</v>
      </c>
    </row>
    <row r="30" spans="1:3" x14ac:dyDescent="0.3">
      <c r="A30" s="90"/>
      <c r="B30">
        <v>26</v>
      </c>
      <c r="C30">
        <v>21.53</v>
      </c>
    </row>
    <row r="31" spans="1:3" x14ac:dyDescent="0.3">
      <c r="A31" s="90"/>
      <c r="B31">
        <v>27</v>
      </c>
      <c r="C31">
        <v>21.83</v>
      </c>
    </row>
    <row r="32" spans="1:3" x14ac:dyDescent="0.3">
      <c r="A32" s="90"/>
      <c r="B32">
        <v>28</v>
      </c>
      <c r="C32">
        <v>21.91</v>
      </c>
    </row>
    <row r="33" spans="1:3" x14ac:dyDescent="0.3">
      <c r="A33" s="90"/>
      <c r="B33">
        <v>29</v>
      </c>
      <c r="C33">
        <v>22.32</v>
      </c>
    </row>
    <row r="34" spans="1:3" x14ac:dyDescent="0.3">
      <c r="A34" s="90"/>
      <c r="B34">
        <v>30</v>
      </c>
      <c r="C34">
        <v>22.75</v>
      </c>
    </row>
    <row r="35" spans="1:3" x14ac:dyDescent="0.3">
      <c r="A35" s="90" t="s">
        <v>96</v>
      </c>
      <c r="B35">
        <v>20</v>
      </c>
      <c r="C35">
        <v>19.45</v>
      </c>
    </row>
    <row r="36" spans="1:3" x14ac:dyDescent="0.3">
      <c r="A36" s="90"/>
      <c r="B36">
        <v>21</v>
      </c>
      <c r="C36">
        <v>18.95</v>
      </c>
    </row>
    <row r="37" spans="1:3" x14ac:dyDescent="0.3">
      <c r="A37" s="90"/>
      <c r="B37">
        <v>22</v>
      </c>
      <c r="C37">
        <v>18.52</v>
      </c>
    </row>
    <row r="38" spans="1:3" x14ac:dyDescent="0.3">
      <c r="A38" s="90"/>
      <c r="B38">
        <v>23</v>
      </c>
      <c r="C38">
        <v>17.260000000000002</v>
      </c>
    </row>
    <row r="39" spans="1:3" x14ac:dyDescent="0.3">
      <c r="A39" s="90"/>
      <c r="B39">
        <v>24</v>
      </c>
      <c r="C39">
        <v>16.59</v>
      </c>
    </row>
    <row r="40" spans="1:3" x14ac:dyDescent="0.3">
      <c r="A40" s="90"/>
      <c r="B40">
        <v>25</v>
      </c>
      <c r="C40">
        <v>15.23</v>
      </c>
    </row>
    <row r="41" spans="1:3" x14ac:dyDescent="0.3">
      <c r="A41" s="90"/>
      <c r="B41">
        <v>26</v>
      </c>
      <c r="C41">
        <v>14.52</v>
      </c>
    </row>
    <row r="42" spans="1:3" x14ac:dyDescent="0.3">
      <c r="A42" s="90"/>
      <c r="B42">
        <v>27</v>
      </c>
      <c r="C42">
        <v>14.89</v>
      </c>
    </row>
    <row r="43" spans="1:3" x14ac:dyDescent="0.3">
      <c r="A43" s="90"/>
      <c r="B43">
        <v>28</v>
      </c>
      <c r="C43">
        <v>15.56</v>
      </c>
    </row>
    <row r="44" spans="1:3" x14ac:dyDescent="0.3">
      <c r="A44" s="90"/>
      <c r="B44">
        <v>29</v>
      </c>
      <c r="C44">
        <v>15.97</v>
      </c>
    </row>
    <row r="45" spans="1:3" x14ac:dyDescent="0.3">
      <c r="A45" s="90"/>
      <c r="B45">
        <v>30</v>
      </c>
      <c r="C45">
        <v>16.86</v>
      </c>
    </row>
    <row r="46" spans="1:3" x14ac:dyDescent="0.3">
      <c r="A46" s="90" t="s">
        <v>1</v>
      </c>
      <c r="B46">
        <v>20</v>
      </c>
      <c r="C46">
        <v>20.49</v>
      </c>
    </row>
    <row r="47" spans="1:3" x14ac:dyDescent="0.3">
      <c r="A47" s="90"/>
      <c r="B47">
        <v>21</v>
      </c>
      <c r="C47">
        <v>19.57</v>
      </c>
    </row>
    <row r="48" spans="1:3" x14ac:dyDescent="0.3">
      <c r="A48" s="90"/>
      <c r="B48">
        <v>22</v>
      </c>
      <c r="C48">
        <v>18.52</v>
      </c>
    </row>
    <row r="49" spans="1:3" x14ac:dyDescent="0.3">
      <c r="A49" s="90"/>
      <c r="B49">
        <v>23</v>
      </c>
      <c r="C49">
        <v>17.52</v>
      </c>
    </row>
    <row r="50" spans="1:3" x14ac:dyDescent="0.3">
      <c r="A50" s="90"/>
      <c r="B50">
        <v>24</v>
      </c>
      <c r="C50">
        <v>16.59</v>
      </c>
    </row>
    <row r="51" spans="1:3" x14ac:dyDescent="0.3">
      <c r="A51" s="90"/>
      <c r="B51">
        <v>25</v>
      </c>
      <c r="C51">
        <v>15</v>
      </c>
    </row>
    <row r="52" spans="1:3" x14ac:dyDescent="0.3">
      <c r="A52" s="90"/>
      <c r="B52">
        <v>26</v>
      </c>
      <c r="C52">
        <v>14.52</v>
      </c>
    </row>
    <row r="53" spans="1:3" x14ac:dyDescent="0.3">
      <c r="A53" s="90"/>
      <c r="B53">
        <v>27</v>
      </c>
      <c r="C53">
        <v>14.24</v>
      </c>
    </row>
    <row r="54" spans="1:3" x14ac:dyDescent="0.3">
      <c r="A54" s="90"/>
      <c r="B54">
        <v>28</v>
      </c>
      <c r="C54">
        <v>14.22</v>
      </c>
    </row>
    <row r="55" spans="1:3" x14ac:dyDescent="0.3">
      <c r="A55" s="90"/>
      <c r="B55">
        <v>29</v>
      </c>
      <c r="C55">
        <v>14.45</v>
      </c>
    </row>
    <row r="56" spans="1:3" x14ac:dyDescent="0.3">
      <c r="A56" s="90"/>
      <c r="B56">
        <v>30</v>
      </c>
      <c r="C56">
        <v>15</v>
      </c>
    </row>
    <row r="57" spans="1:3" x14ac:dyDescent="0.3">
      <c r="A57" s="90" t="s">
        <v>2</v>
      </c>
      <c r="B57">
        <v>20</v>
      </c>
      <c r="C57">
        <v>25.36</v>
      </c>
    </row>
    <row r="58" spans="1:3" x14ac:dyDescent="0.3">
      <c r="A58" s="90"/>
      <c r="B58">
        <v>21</v>
      </c>
      <c r="C58">
        <v>25.19</v>
      </c>
    </row>
    <row r="59" spans="1:3" x14ac:dyDescent="0.3">
      <c r="A59" s="90"/>
      <c r="B59">
        <v>22</v>
      </c>
      <c r="C59">
        <v>24.9</v>
      </c>
    </row>
    <row r="60" spans="1:3" x14ac:dyDescent="0.3">
      <c r="A60" s="90"/>
      <c r="B60">
        <v>23</v>
      </c>
      <c r="C60">
        <v>23.97</v>
      </c>
    </row>
    <row r="61" spans="1:3" x14ac:dyDescent="0.3">
      <c r="A61" s="90"/>
      <c r="B61">
        <v>24</v>
      </c>
      <c r="C61">
        <v>23.88</v>
      </c>
    </row>
    <row r="62" spans="1:3" x14ac:dyDescent="0.3">
      <c r="A62" s="90"/>
      <c r="B62">
        <v>25</v>
      </c>
      <c r="C62">
        <v>23.73</v>
      </c>
    </row>
    <row r="63" spans="1:3" x14ac:dyDescent="0.3">
      <c r="A63" s="90"/>
      <c r="B63">
        <v>26</v>
      </c>
      <c r="C63">
        <v>23.4</v>
      </c>
    </row>
    <row r="64" spans="1:3" x14ac:dyDescent="0.3">
      <c r="A64" s="90"/>
      <c r="B64">
        <v>27</v>
      </c>
      <c r="C64">
        <v>23.51</v>
      </c>
    </row>
    <row r="65" spans="1:3" x14ac:dyDescent="0.3">
      <c r="A65" s="90"/>
      <c r="B65">
        <v>28</v>
      </c>
      <c r="C65">
        <v>23.62</v>
      </c>
    </row>
    <row r="66" spans="1:3" x14ac:dyDescent="0.3">
      <c r="A66" s="90"/>
      <c r="B66">
        <v>29</v>
      </c>
      <c r="C66">
        <v>23.73</v>
      </c>
    </row>
    <row r="67" spans="1:3" x14ac:dyDescent="0.3">
      <c r="A67" s="90"/>
      <c r="B67">
        <v>30</v>
      </c>
      <c r="C67">
        <v>23.87</v>
      </c>
    </row>
    <row r="68" spans="1:3" x14ac:dyDescent="0.3">
      <c r="A68" s="90" t="s">
        <v>97</v>
      </c>
      <c r="B68">
        <v>20</v>
      </c>
      <c r="C68">
        <v>18.54</v>
      </c>
    </row>
    <row r="69" spans="1:3" x14ac:dyDescent="0.3">
      <c r="A69" s="90"/>
      <c r="B69">
        <v>21</v>
      </c>
      <c r="C69">
        <v>17.98</v>
      </c>
    </row>
    <row r="70" spans="1:3" x14ac:dyDescent="0.3">
      <c r="A70" s="90"/>
      <c r="B70">
        <v>22</v>
      </c>
      <c r="C70">
        <v>17.649999999999999</v>
      </c>
    </row>
    <row r="71" spans="1:3" x14ac:dyDescent="0.3">
      <c r="A71" s="90"/>
      <c r="B71">
        <v>23</v>
      </c>
      <c r="C71">
        <v>17.13</v>
      </c>
    </row>
    <row r="72" spans="1:3" x14ac:dyDescent="0.3">
      <c r="A72" s="90"/>
      <c r="B72">
        <v>24</v>
      </c>
      <c r="C72">
        <v>16.45</v>
      </c>
    </row>
    <row r="73" spans="1:3" x14ac:dyDescent="0.3">
      <c r="A73" s="90"/>
      <c r="B73">
        <v>25</v>
      </c>
      <c r="C73">
        <v>15.36</v>
      </c>
    </row>
    <row r="74" spans="1:3" x14ac:dyDescent="0.3">
      <c r="A74" s="90"/>
      <c r="B74">
        <v>26</v>
      </c>
      <c r="C74">
        <v>14.69</v>
      </c>
    </row>
    <row r="75" spans="1:3" x14ac:dyDescent="0.3">
      <c r="A75" s="90"/>
      <c r="B75">
        <v>27</v>
      </c>
      <c r="C75">
        <v>14.95</v>
      </c>
    </row>
    <row r="76" spans="1:3" x14ac:dyDescent="0.3">
      <c r="A76" s="90"/>
      <c r="B76">
        <v>28</v>
      </c>
      <c r="C76">
        <v>15.65</v>
      </c>
    </row>
    <row r="77" spans="1:3" x14ac:dyDescent="0.3">
      <c r="A77" s="90"/>
      <c r="B77">
        <v>29</v>
      </c>
      <c r="C77">
        <v>16.23</v>
      </c>
    </row>
    <row r="78" spans="1:3" x14ac:dyDescent="0.3">
      <c r="A78" s="90"/>
      <c r="B78">
        <v>30</v>
      </c>
      <c r="C78">
        <v>16.86</v>
      </c>
    </row>
    <row r="79" spans="1:3" x14ac:dyDescent="0.3">
      <c r="A79" s="90" t="s">
        <v>3</v>
      </c>
      <c r="B79">
        <v>20</v>
      </c>
      <c r="C79">
        <v>19.86</v>
      </c>
    </row>
    <row r="80" spans="1:3" x14ac:dyDescent="0.3">
      <c r="A80" s="90"/>
      <c r="B80">
        <v>21</v>
      </c>
      <c r="C80">
        <v>19.23</v>
      </c>
    </row>
    <row r="81" spans="1:3" x14ac:dyDescent="0.3">
      <c r="A81" s="90"/>
      <c r="B81">
        <v>22</v>
      </c>
      <c r="C81">
        <v>18.52</v>
      </c>
    </row>
    <row r="82" spans="1:3" x14ac:dyDescent="0.3">
      <c r="A82" s="90"/>
      <c r="B82">
        <v>23</v>
      </c>
      <c r="C82">
        <v>17.760000000000002</v>
      </c>
    </row>
    <row r="83" spans="1:3" x14ac:dyDescent="0.3">
      <c r="A83" s="90"/>
      <c r="B83">
        <v>24</v>
      </c>
      <c r="C83">
        <v>16.64</v>
      </c>
    </row>
    <row r="84" spans="1:3" x14ac:dyDescent="0.3">
      <c r="A84" s="90"/>
      <c r="B84">
        <v>25</v>
      </c>
      <c r="C84">
        <v>15.26</v>
      </c>
    </row>
    <row r="85" spans="1:3" x14ac:dyDescent="0.3">
      <c r="A85" s="90"/>
      <c r="B85">
        <v>26</v>
      </c>
      <c r="C85">
        <v>15.56</v>
      </c>
    </row>
    <row r="86" spans="1:3" x14ac:dyDescent="0.3">
      <c r="A86" s="90"/>
      <c r="B86">
        <v>27</v>
      </c>
      <c r="C86">
        <v>16.02</v>
      </c>
    </row>
    <row r="87" spans="1:3" x14ac:dyDescent="0.3">
      <c r="A87" s="90"/>
      <c r="B87">
        <v>28</v>
      </c>
      <c r="C87">
        <v>16.86</v>
      </c>
    </row>
    <row r="88" spans="1:3" x14ac:dyDescent="0.3">
      <c r="A88" s="90"/>
      <c r="B88">
        <v>29</v>
      </c>
      <c r="C88">
        <v>17.16</v>
      </c>
    </row>
    <row r="89" spans="1:3" x14ac:dyDescent="0.3">
      <c r="A89" s="90"/>
      <c r="B89">
        <v>30</v>
      </c>
      <c r="C89">
        <v>17.690000000000001</v>
      </c>
    </row>
    <row r="90" spans="1:3" x14ac:dyDescent="0.3">
      <c r="A90" s="90" t="s">
        <v>4</v>
      </c>
      <c r="B90">
        <v>20</v>
      </c>
      <c r="C90">
        <v>24.81</v>
      </c>
    </row>
    <row r="91" spans="1:3" x14ac:dyDescent="0.3">
      <c r="A91" s="90"/>
      <c r="B91">
        <v>21</v>
      </c>
      <c r="C91">
        <v>24.36</v>
      </c>
    </row>
    <row r="92" spans="1:3" x14ac:dyDescent="0.3">
      <c r="A92" s="90"/>
      <c r="B92">
        <v>22</v>
      </c>
      <c r="C92">
        <v>23.67</v>
      </c>
    </row>
    <row r="93" spans="1:3" x14ac:dyDescent="0.3">
      <c r="A93" s="90"/>
      <c r="B93">
        <v>23</v>
      </c>
      <c r="C93">
        <v>23.16</v>
      </c>
    </row>
    <row r="94" spans="1:3" x14ac:dyDescent="0.3">
      <c r="A94" s="90"/>
      <c r="B94">
        <v>24</v>
      </c>
      <c r="C94">
        <v>22.69</v>
      </c>
    </row>
    <row r="95" spans="1:3" x14ac:dyDescent="0.3">
      <c r="A95" s="90"/>
      <c r="B95">
        <v>25</v>
      </c>
      <c r="C95">
        <v>22.06</v>
      </c>
    </row>
    <row r="96" spans="1:3" x14ac:dyDescent="0.3">
      <c r="A96" s="90"/>
      <c r="B96">
        <v>26</v>
      </c>
      <c r="C96">
        <v>23.49</v>
      </c>
    </row>
    <row r="97" spans="1:3" x14ac:dyDescent="0.3">
      <c r="A97" s="90"/>
      <c r="B97">
        <v>27</v>
      </c>
      <c r="C97">
        <v>23.91</v>
      </c>
    </row>
    <row r="98" spans="1:3" x14ac:dyDescent="0.3">
      <c r="A98" s="90"/>
      <c r="B98">
        <v>28</v>
      </c>
      <c r="C98">
        <v>24.24</v>
      </c>
    </row>
    <row r="99" spans="1:3" x14ac:dyDescent="0.3">
      <c r="A99" s="90"/>
      <c r="B99">
        <v>29</v>
      </c>
      <c r="C99">
        <v>24.98</v>
      </c>
    </row>
    <row r="100" spans="1:3" x14ac:dyDescent="0.3">
      <c r="A100" s="90"/>
      <c r="B100">
        <v>30</v>
      </c>
      <c r="C100">
        <v>25.26</v>
      </c>
    </row>
  </sheetData>
  <mergeCells count="9">
    <mergeCell ref="A68:A78"/>
    <mergeCell ref="A79:A89"/>
    <mergeCell ref="A90:A100"/>
    <mergeCell ref="A2:A12"/>
    <mergeCell ref="A13:A23"/>
    <mergeCell ref="A24:A34"/>
    <mergeCell ref="A35:A45"/>
    <mergeCell ref="A46:A56"/>
    <mergeCell ref="A57:A6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8473-7E36-4C56-9597-97D4D50635FE}">
  <dimension ref="A1:V39"/>
  <sheetViews>
    <sheetView workbookViewId="0">
      <selection activeCell="H38" sqref="H38"/>
    </sheetView>
  </sheetViews>
  <sheetFormatPr defaultRowHeight="14.4" x14ac:dyDescent="0.3"/>
  <cols>
    <col min="1" max="1" width="22.109375" bestFit="1" customWidth="1"/>
    <col min="2" max="2" width="5.6640625" bestFit="1" customWidth="1"/>
    <col min="3" max="3" width="18.109375" bestFit="1" customWidth="1"/>
    <col min="4" max="4" width="9.6640625" bestFit="1" customWidth="1"/>
    <col min="5" max="6" width="9.5546875" bestFit="1" customWidth="1"/>
    <col min="7" max="8" width="9" bestFit="1" customWidth="1"/>
    <col min="9" max="9" width="10.21875" bestFit="1" customWidth="1"/>
    <col min="10" max="15" width="9.5546875" bestFit="1" customWidth="1"/>
    <col min="16" max="16" width="9" bestFit="1" customWidth="1"/>
    <col min="19" max="19" width="20.109375" bestFit="1" customWidth="1"/>
    <col min="20" max="20" width="16.88671875" bestFit="1" customWidth="1"/>
    <col min="21" max="22" width="18.44140625" bestFit="1" customWidth="1"/>
  </cols>
  <sheetData>
    <row r="1" spans="1:22" x14ac:dyDescent="0.3">
      <c r="A1" s="81" t="s">
        <v>95</v>
      </c>
      <c r="B1" s="78" t="s">
        <v>26</v>
      </c>
      <c r="C1" s="81" t="s">
        <v>23</v>
      </c>
      <c r="D1" s="80" t="s">
        <v>24</v>
      </c>
      <c r="E1" s="78" t="s">
        <v>5</v>
      </c>
      <c r="F1" s="79"/>
      <c r="G1" s="79"/>
      <c r="H1" s="80"/>
      <c r="I1" s="78" t="s">
        <v>9</v>
      </c>
      <c r="J1" s="79"/>
      <c r="K1" s="79"/>
      <c r="L1" s="80"/>
      <c r="M1" s="78" t="s">
        <v>10</v>
      </c>
      <c r="N1" s="80"/>
      <c r="O1" s="78" t="s">
        <v>11</v>
      </c>
      <c r="P1" s="80"/>
    </row>
    <row r="2" spans="1:22" x14ac:dyDescent="0.3">
      <c r="A2" s="82"/>
      <c r="B2" s="88"/>
      <c r="C2" s="82"/>
      <c r="D2" s="89"/>
      <c r="E2" s="88" t="s">
        <v>12</v>
      </c>
      <c r="F2" s="87"/>
      <c r="G2" s="87" t="s">
        <v>13</v>
      </c>
      <c r="H2" s="89"/>
      <c r="I2" s="88" t="s">
        <v>12</v>
      </c>
      <c r="J2" s="87"/>
      <c r="K2" s="87" t="s">
        <v>13</v>
      </c>
      <c r="L2" s="89"/>
      <c r="M2" s="44"/>
      <c r="N2" s="47"/>
      <c r="O2" s="44"/>
      <c r="P2" s="47"/>
    </row>
    <row r="3" spans="1:22" ht="15" thickBot="1" x14ac:dyDescent="0.35">
      <c r="A3" s="102"/>
      <c r="B3" s="101"/>
      <c r="C3" s="102"/>
      <c r="D3" s="108"/>
      <c r="E3" s="45" t="s">
        <v>7</v>
      </c>
      <c r="F3" s="46" t="s">
        <v>8</v>
      </c>
      <c r="G3" s="46" t="s">
        <v>7</v>
      </c>
      <c r="H3" s="48" t="s">
        <v>8</v>
      </c>
      <c r="I3" s="45" t="s">
        <v>7</v>
      </c>
      <c r="J3" s="46" t="s">
        <v>8</v>
      </c>
      <c r="K3" s="46" t="s">
        <v>7</v>
      </c>
      <c r="L3" s="48" t="s">
        <v>8</v>
      </c>
      <c r="M3" s="45" t="s">
        <v>7</v>
      </c>
      <c r="N3" s="48" t="s">
        <v>8</v>
      </c>
      <c r="O3" s="45" t="s">
        <v>7</v>
      </c>
      <c r="P3" s="48"/>
    </row>
    <row r="4" spans="1:22" x14ac:dyDescent="0.3">
      <c r="A4" t="s">
        <v>68</v>
      </c>
      <c r="B4">
        <v>21</v>
      </c>
      <c r="E4">
        <v>8.3000000000000001E-3</v>
      </c>
      <c r="F4">
        <v>5.5999999999999999E-3</v>
      </c>
      <c r="G4">
        <v>1.1927000000000001</v>
      </c>
      <c r="H4">
        <v>0.65349999999999997</v>
      </c>
      <c r="I4">
        <v>-4.0300000000000002E-2</v>
      </c>
      <c r="J4">
        <v>8.7999999999999995E-2</v>
      </c>
      <c r="K4">
        <v>19.160499999999999</v>
      </c>
      <c r="L4">
        <v>12.095000000000001</v>
      </c>
      <c r="M4">
        <v>1.404E-2</v>
      </c>
      <c r="N4">
        <v>6.0000000000000001E-3</v>
      </c>
      <c r="O4">
        <v>1.12E-2</v>
      </c>
      <c r="R4" s="9"/>
      <c r="S4" s="84" t="s">
        <v>86</v>
      </c>
      <c r="T4" s="85"/>
      <c r="U4" s="85"/>
      <c r="V4" s="86"/>
    </row>
    <row r="5" spans="1:22" x14ac:dyDescent="0.3">
      <c r="A5" t="s">
        <v>33</v>
      </c>
      <c r="B5">
        <v>21</v>
      </c>
      <c r="E5">
        <v>8.6999999999999994E-3</v>
      </c>
      <c r="F5">
        <v>5.4000000000000003E-3</v>
      </c>
      <c r="G5">
        <v>1.1615</v>
      </c>
      <c r="H5">
        <v>0.59099999999999997</v>
      </c>
      <c r="I5">
        <v>-3.0599999999999999E-2</v>
      </c>
      <c r="J5">
        <v>0.10050000000000001</v>
      </c>
      <c r="K5">
        <v>23.885000000000002</v>
      </c>
      <c r="L5">
        <v>14.5733</v>
      </c>
      <c r="M5">
        <v>1.491E-2</v>
      </c>
      <c r="N5">
        <v>7.0000000000000001E-3</v>
      </c>
      <c r="O5">
        <v>1.14E-2</v>
      </c>
      <c r="R5" s="9"/>
      <c r="S5" s="3"/>
      <c r="T5" s="2" t="s">
        <v>16</v>
      </c>
      <c r="U5" s="4" t="s">
        <v>19</v>
      </c>
      <c r="V5" s="4" t="s">
        <v>19</v>
      </c>
    </row>
    <row r="6" spans="1:22" x14ac:dyDescent="0.3">
      <c r="A6" t="s">
        <v>32</v>
      </c>
      <c r="B6">
        <v>20</v>
      </c>
      <c r="E6">
        <v>8.8000000000000005E-3</v>
      </c>
      <c r="F6">
        <v>5.8999999999999999E-3</v>
      </c>
      <c r="G6">
        <v>1.171</v>
      </c>
      <c r="H6">
        <v>0.65</v>
      </c>
      <c r="I6">
        <v>-3.7900000000000003E-2</v>
      </c>
      <c r="J6">
        <v>5.4699999999999999E-2</v>
      </c>
      <c r="K6">
        <v>12.4278</v>
      </c>
      <c r="L6">
        <v>11.0913</v>
      </c>
      <c r="M6">
        <v>2.1389999999999999E-2</v>
      </c>
      <c r="N6">
        <v>8.0000000000000002E-3</v>
      </c>
      <c r="O6">
        <v>1.6799999999999999E-2</v>
      </c>
      <c r="R6" s="9"/>
      <c r="S6" s="3" t="s">
        <v>14</v>
      </c>
      <c r="T6" s="2" t="s">
        <v>110</v>
      </c>
      <c r="U6" s="4" t="s">
        <v>112</v>
      </c>
      <c r="V6" s="4" t="s">
        <v>114</v>
      </c>
    </row>
    <row r="7" spans="1:22" ht="15" thickBot="1" x14ac:dyDescent="0.35">
      <c r="R7" s="9"/>
      <c r="S7" s="5" t="s">
        <v>15</v>
      </c>
      <c r="T7" s="6" t="s">
        <v>111</v>
      </c>
      <c r="U7" s="7" t="s">
        <v>113</v>
      </c>
      <c r="V7" s="7" t="s">
        <v>115</v>
      </c>
    </row>
    <row r="8" spans="1:22" ht="15" thickBot="1" x14ac:dyDescent="0.35">
      <c r="E8" s="49">
        <f>AVERAGE(E4:E6)*1000</f>
        <v>8.6000000000000014</v>
      </c>
      <c r="F8" s="49">
        <f>AVERAGE(F4:F6)*1000</f>
        <v>5.6333333333333329</v>
      </c>
      <c r="G8" s="49">
        <f>AVERAGE(G4:G6)</f>
        <v>1.1750666666666667</v>
      </c>
      <c r="H8" s="49">
        <f>AVERAGE(H4:H6)</f>
        <v>0.63149999999999995</v>
      </c>
      <c r="I8" s="49">
        <f t="shared" ref="I8:O8" si="0">AVERAGE(I4:I6)*1000</f>
        <v>-36.266666666666666</v>
      </c>
      <c r="J8" s="49">
        <f t="shared" si="0"/>
        <v>81.066666666666663</v>
      </c>
      <c r="K8" s="49">
        <f>AVERAGE(K4:K6)</f>
        <v>18.491099999999999</v>
      </c>
      <c r="L8" s="49">
        <f>AVERAGE(L4:L6)</f>
        <v>12.586533333333335</v>
      </c>
      <c r="M8" s="49">
        <f t="shared" si="0"/>
        <v>16.78</v>
      </c>
      <c r="N8" s="49">
        <f t="shared" si="0"/>
        <v>7</v>
      </c>
      <c r="O8" s="49">
        <f t="shared" si="0"/>
        <v>13.133333333333335</v>
      </c>
      <c r="P8" s="49">
        <f>_xlfn.STDEV.P(O4:O6)*1000</f>
        <v>2.5940101944458287</v>
      </c>
      <c r="R8" s="9"/>
    </row>
    <row r="9" spans="1:22" x14ac:dyDescent="0.3">
      <c r="R9" s="9"/>
      <c r="S9" s="84" t="s">
        <v>18</v>
      </c>
      <c r="T9" s="85"/>
      <c r="U9" s="85"/>
      <c r="V9" s="86"/>
    </row>
    <row r="10" spans="1:22" x14ac:dyDescent="0.3">
      <c r="A10" t="s">
        <v>72</v>
      </c>
      <c r="B10">
        <v>21</v>
      </c>
      <c r="E10">
        <v>1.2E-2</v>
      </c>
      <c r="F10">
        <v>6.1000000000000004E-3</v>
      </c>
      <c r="G10">
        <v>1.4236</v>
      </c>
      <c r="H10">
        <v>0.69099999999999995</v>
      </c>
      <c r="I10">
        <v>-2.1600000000000001E-2</v>
      </c>
      <c r="J10">
        <v>0.108</v>
      </c>
      <c r="K10">
        <v>25.67</v>
      </c>
      <c r="L10">
        <v>13.26</v>
      </c>
      <c r="M10">
        <v>1.523E-2</v>
      </c>
      <c r="N10">
        <v>1.2E-2</v>
      </c>
      <c r="O10">
        <v>1.269E-2</v>
      </c>
      <c r="R10" s="9"/>
      <c r="S10" s="3"/>
      <c r="T10" s="2" t="s">
        <v>16</v>
      </c>
      <c r="U10" s="4" t="s">
        <v>19</v>
      </c>
      <c r="V10" s="4" t="s">
        <v>17</v>
      </c>
    </row>
    <row r="11" spans="1:22" x14ac:dyDescent="0.3">
      <c r="A11" t="s">
        <v>34</v>
      </c>
      <c r="B11">
        <v>23</v>
      </c>
      <c r="E11">
        <v>1.0999999999999999E-2</v>
      </c>
      <c r="F11">
        <v>7.1000000000000004E-3</v>
      </c>
      <c r="G11">
        <v>1.5367</v>
      </c>
      <c r="H11">
        <v>0.84789999999999999</v>
      </c>
      <c r="I11">
        <v>-2.3599999999999999E-2</v>
      </c>
      <c r="J11">
        <v>0.1158</v>
      </c>
      <c r="K11">
        <v>27.960899999999999</v>
      </c>
      <c r="L11">
        <v>14.1426</v>
      </c>
      <c r="M11">
        <v>1.4239999999999999E-2</v>
      </c>
      <c r="N11">
        <v>1.6E-2</v>
      </c>
      <c r="O11">
        <v>1.329E-2</v>
      </c>
      <c r="R11" s="9"/>
      <c r="S11" s="3" t="s">
        <v>14</v>
      </c>
      <c r="T11" s="2" t="s">
        <v>104</v>
      </c>
      <c r="U11" s="4" t="s">
        <v>106</v>
      </c>
      <c r="V11" s="4" t="s">
        <v>108</v>
      </c>
    </row>
    <row r="12" spans="1:22" ht="15" thickBot="1" x14ac:dyDescent="0.35">
      <c r="A12" t="s">
        <v>35</v>
      </c>
      <c r="B12">
        <v>21</v>
      </c>
      <c r="E12">
        <v>1.06E-2</v>
      </c>
      <c r="F12">
        <v>6.8999999999999999E-3</v>
      </c>
      <c r="G12">
        <v>1.4712000000000001</v>
      </c>
      <c r="H12">
        <v>0.82250000000000001</v>
      </c>
      <c r="I12">
        <v>-2.6800000000000001E-2</v>
      </c>
      <c r="J12">
        <v>0.10979999999999999</v>
      </c>
      <c r="K12">
        <v>20.4086</v>
      </c>
      <c r="L12">
        <v>16.203800000000001</v>
      </c>
      <c r="M12">
        <v>2.3879999999999998E-2</v>
      </c>
      <c r="N12">
        <v>1.6E-2</v>
      </c>
      <c r="O12">
        <v>1.7999999999999999E-2</v>
      </c>
      <c r="R12" s="9"/>
      <c r="S12" s="5" t="s">
        <v>15</v>
      </c>
      <c r="T12" s="6" t="s">
        <v>105</v>
      </c>
      <c r="U12" s="7" t="s">
        <v>107</v>
      </c>
      <c r="V12" s="7" t="s">
        <v>109</v>
      </c>
    </row>
    <row r="13" spans="1:22" ht="15" thickBot="1" x14ac:dyDescent="0.35">
      <c r="R13" s="9"/>
    </row>
    <row r="14" spans="1:22" x14ac:dyDescent="0.3">
      <c r="E14" s="49">
        <f>AVERAGE(E10:E12)*1000</f>
        <v>11.2</v>
      </c>
      <c r="F14" s="49">
        <f>AVERAGE(F10:F12)*1000</f>
        <v>6.7</v>
      </c>
      <c r="G14" s="49">
        <f>AVERAGE(G10:G12)</f>
        <v>1.4771666666666665</v>
      </c>
      <c r="H14" s="49">
        <f>AVERAGE(H10:H12)</f>
        <v>0.78713333333333324</v>
      </c>
      <c r="I14" s="49">
        <f t="shared" ref="I14:O14" si="1">AVERAGE(I10:I12)*1000</f>
        <v>-24.000000000000004</v>
      </c>
      <c r="J14" s="49">
        <f t="shared" si="1"/>
        <v>111.2</v>
      </c>
      <c r="K14" s="49">
        <f>AVERAGE(K10:K12)</f>
        <v>24.679833333333335</v>
      </c>
      <c r="L14" s="49">
        <f>AVERAGE(L10:L12)</f>
        <v>14.535466666666666</v>
      </c>
      <c r="M14" s="49">
        <f t="shared" si="1"/>
        <v>17.783333333333331</v>
      </c>
      <c r="N14" s="49">
        <f t="shared" si="1"/>
        <v>14.666666666666666</v>
      </c>
      <c r="O14" s="49">
        <f t="shared" si="1"/>
        <v>14.66</v>
      </c>
      <c r="P14" s="49">
        <f>_xlfn.STDEV.P(O10:O12)*1000</f>
        <v>2.3744051886735753</v>
      </c>
      <c r="R14" s="9"/>
      <c r="S14" s="84" t="s">
        <v>20</v>
      </c>
      <c r="T14" s="85"/>
      <c r="U14" s="85"/>
      <c r="V14" s="86"/>
    </row>
    <row r="15" spans="1:22" x14ac:dyDescent="0.3">
      <c r="R15" s="9"/>
      <c r="S15" s="3"/>
      <c r="T15" s="2" t="s">
        <v>16</v>
      </c>
      <c r="U15" s="4" t="s">
        <v>19</v>
      </c>
      <c r="V15" s="4" t="s">
        <v>17</v>
      </c>
    </row>
    <row r="16" spans="1:22" x14ac:dyDescent="0.3">
      <c r="A16" t="s">
        <v>72</v>
      </c>
      <c r="B16">
        <v>21</v>
      </c>
      <c r="E16">
        <v>1.0800000000000001E-2</v>
      </c>
      <c r="F16">
        <v>5.5999999999999999E-3</v>
      </c>
      <c r="G16">
        <v>1.4690000000000001</v>
      </c>
      <c r="H16">
        <v>0.63200000000000001</v>
      </c>
      <c r="I16">
        <v>-2.53E-2</v>
      </c>
      <c r="J16">
        <v>9.6000000000000002E-2</v>
      </c>
      <c r="K16">
        <v>23.12</v>
      </c>
      <c r="L16">
        <v>12.24</v>
      </c>
      <c r="M16">
        <v>1.469E-2</v>
      </c>
      <c r="N16">
        <v>8.9999999999999993E-3</v>
      </c>
      <c r="O16">
        <v>1.218E-2</v>
      </c>
      <c r="R16" s="9"/>
      <c r="S16" s="3" t="s">
        <v>21</v>
      </c>
      <c r="T16" s="2" t="s">
        <v>99</v>
      </c>
      <c r="U16" s="4" t="s">
        <v>100</v>
      </c>
      <c r="V16" s="4" t="s">
        <v>102</v>
      </c>
    </row>
    <row r="17" spans="1:22" ht="15" thickBot="1" x14ac:dyDescent="0.35">
      <c r="A17" t="s">
        <v>34</v>
      </c>
      <c r="B17">
        <v>21</v>
      </c>
      <c r="E17">
        <v>1.01E-2</v>
      </c>
      <c r="F17">
        <v>7.1000000000000004E-3</v>
      </c>
      <c r="G17">
        <v>1.4325000000000001</v>
      </c>
      <c r="H17">
        <v>0.69779999999999998</v>
      </c>
      <c r="I17">
        <v>-2.76E-2</v>
      </c>
      <c r="J17">
        <v>9.1999999999999998E-2</v>
      </c>
      <c r="K17">
        <v>25.03</v>
      </c>
      <c r="L17">
        <v>13</v>
      </c>
      <c r="M17">
        <v>1.5259999999999999E-2</v>
      </c>
      <c r="N17">
        <v>1.2999999999999999E-2</v>
      </c>
      <c r="O17">
        <v>1.2800000000000001E-2</v>
      </c>
      <c r="R17" s="9"/>
      <c r="S17" s="5" t="s">
        <v>22</v>
      </c>
      <c r="T17" s="6" t="s">
        <v>98</v>
      </c>
      <c r="U17" s="7" t="s">
        <v>101</v>
      </c>
      <c r="V17" s="7" t="s">
        <v>103</v>
      </c>
    </row>
    <row r="18" spans="1:22" x14ac:dyDescent="0.3">
      <c r="A18" t="s">
        <v>35</v>
      </c>
      <c r="B18">
        <v>20</v>
      </c>
      <c r="R18" s="9"/>
      <c r="S18" s="9"/>
    </row>
    <row r="19" spans="1:22" x14ac:dyDescent="0.3">
      <c r="R19" s="9"/>
      <c r="S19" s="9"/>
    </row>
    <row r="20" spans="1:22" x14ac:dyDescent="0.3">
      <c r="E20" s="49">
        <f>AVERAGE(E16:E18)*1000</f>
        <v>10.450000000000001</v>
      </c>
      <c r="F20" s="49">
        <f>AVERAGE(F16:F18)*1000</f>
        <v>6.35</v>
      </c>
      <c r="G20" s="49">
        <f>AVERAGE(G16:G18)</f>
        <v>1.4507500000000002</v>
      </c>
      <c r="H20" s="49">
        <f>AVERAGE(H16:H18)</f>
        <v>0.66490000000000005</v>
      </c>
      <c r="I20" s="49">
        <f>AVERAGE(I16:I18)*1000</f>
        <v>-26.450000000000003</v>
      </c>
      <c r="J20" s="49">
        <f>AVERAGE(J16:J18)*1000</f>
        <v>94</v>
      </c>
      <c r="K20" s="49">
        <f>AVERAGE(K16:K18)</f>
        <v>24.075000000000003</v>
      </c>
      <c r="L20" s="49">
        <f>AVERAGE(L16:L18)</f>
        <v>12.620000000000001</v>
      </c>
      <c r="M20" s="49">
        <f>AVERAGE(M16:M18)*1000</f>
        <v>14.974999999999998</v>
      </c>
      <c r="N20" s="49">
        <f>AVERAGE(N16:N18)*1000</f>
        <v>11</v>
      </c>
      <c r="O20" s="49">
        <f>AVERAGE(O16:O18)*1000</f>
        <v>12.490000000000002</v>
      </c>
      <c r="P20" s="49">
        <f>_xlfn.STDEV.P(O16:O18)*1000</f>
        <v>0.31000000000000039</v>
      </c>
      <c r="R20" s="9"/>
      <c r="S20" s="9"/>
    </row>
    <row r="21" spans="1:22" x14ac:dyDescent="0.3">
      <c r="R21" s="9"/>
      <c r="S21" s="9"/>
    </row>
    <row r="22" spans="1:22" x14ac:dyDescent="0.3">
      <c r="R22" s="9"/>
      <c r="S22" s="9"/>
    </row>
    <row r="23" spans="1:22" x14ac:dyDescent="0.3">
      <c r="R23" s="9"/>
      <c r="S23" s="9"/>
    </row>
    <row r="24" spans="1:22" x14ac:dyDescent="0.3">
      <c r="R24" s="9"/>
      <c r="S24" s="9"/>
    </row>
    <row r="25" spans="1:22" x14ac:dyDescent="0.3">
      <c r="R25" s="9"/>
      <c r="S25" s="9"/>
    </row>
    <row r="26" spans="1:22" x14ac:dyDescent="0.3">
      <c r="R26" s="9"/>
      <c r="S26" s="9"/>
    </row>
    <row r="27" spans="1:22" x14ac:dyDescent="0.3">
      <c r="R27" s="9"/>
      <c r="S27" s="9"/>
    </row>
    <row r="28" spans="1:22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2" x14ac:dyDescent="0.3">
      <c r="A29" s="9"/>
      <c r="B29" s="9"/>
      <c r="C29" s="9"/>
      <c r="D29" s="9"/>
      <c r="E29">
        <v>9.7999999999999997E-3</v>
      </c>
      <c r="F29">
        <v>5.5999999999999999E-3</v>
      </c>
      <c r="G29">
        <v>1.3625</v>
      </c>
      <c r="H29">
        <v>0.59599999999999997</v>
      </c>
      <c r="I29">
        <v>-2.3800000000000002E-2</v>
      </c>
      <c r="J29">
        <v>9.5000000000000001E-2</v>
      </c>
      <c r="K29">
        <v>21.18</v>
      </c>
      <c r="L29">
        <v>16.239999999999998</v>
      </c>
      <c r="M29">
        <v>2.206E-2</v>
      </c>
      <c r="N29">
        <v>1.26E-2</v>
      </c>
      <c r="O29">
        <v>1.4999999999999999E-2</v>
      </c>
      <c r="P29" s="9"/>
      <c r="Q29" s="9"/>
      <c r="R29" s="9"/>
      <c r="S29" s="9"/>
      <c r="T29" s="9"/>
      <c r="U29" s="9"/>
    </row>
    <row r="30" spans="1:22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2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2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</sheetData>
  <mergeCells count="15">
    <mergeCell ref="S4:V4"/>
    <mergeCell ref="S9:V9"/>
    <mergeCell ref="S14:V14"/>
    <mergeCell ref="M1:N1"/>
    <mergeCell ref="O1:P1"/>
    <mergeCell ref="E2:F2"/>
    <mergeCell ref="G2:H2"/>
    <mergeCell ref="I2:J2"/>
    <mergeCell ref="K2:L2"/>
    <mergeCell ref="A1:A3"/>
    <mergeCell ref="B1:B3"/>
    <mergeCell ref="C1:C3"/>
    <mergeCell ref="D1:D3"/>
    <mergeCell ref="E1:H1"/>
    <mergeCell ref="I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10D8-AFE1-4840-85D9-722CE3E33639}">
  <dimension ref="A1:I33"/>
  <sheetViews>
    <sheetView zoomScaleNormal="100" workbookViewId="0">
      <selection activeCell="K24" sqref="K24"/>
    </sheetView>
  </sheetViews>
  <sheetFormatPr defaultRowHeight="14.4" x14ac:dyDescent="0.3"/>
  <cols>
    <col min="1" max="1" width="5.88671875" bestFit="1" customWidth="1"/>
    <col min="2" max="2" width="9.5546875" bestFit="1" customWidth="1"/>
    <col min="3" max="3" width="11.109375" customWidth="1"/>
    <col min="4" max="4" width="6.88671875" bestFit="1" customWidth="1"/>
    <col min="5" max="5" width="9.5546875" bestFit="1" customWidth="1"/>
  </cols>
  <sheetData>
    <row r="1" spans="1:9" ht="15" thickBot="1" x14ac:dyDescent="0.35">
      <c r="A1" s="14" t="s">
        <v>170</v>
      </c>
      <c r="B1" s="15" t="s">
        <v>173</v>
      </c>
      <c r="C1" s="15" t="s">
        <v>171</v>
      </c>
      <c r="D1" s="15" t="s">
        <v>172</v>
      </c>
      <c r="E1" s="16" t="s">
        <v>174</v>
      </c>
      <c r="H1" t="s">
        <v>180</v>
      </c>
      <c r="I1" t="s">
        <v>179</v>
      </c>
    </row>
    <row r="2" spans="1:9" x14ac:dyDescent="0.3">
      <c r="A2" s="78">
        <v>400</v>
      </c>
      <c r="B2" s="15" t="s">
        <v>175</v>
      </c>
      <c r="C2" s="15">
        <v>569.29999999999995</v>
      </c>
      <c r="D2" s="15">
        <v>552.05999999999995</v>
      </c>
      <c r="E2" s="16">
        <f>C2-D2</f>
        <v>17.240000000000009</v>
      </c>
      <c r="H2">
        <v>604.35</v>
      </c>
      <c r="I2">
        <v>601.05999999999995</v>
      </c>
    </row>
    <row r="3" spans="1:9" x14ac:dyDescent="0.3">
      <c r="A3" s="88"/>
      <c r="B3" s="9" t="s">
        <v>176</v>
      </c>
      <c r="C3" s="9">
        <v>569.27</v>
      </c>
      <c r="D3" s="9">
        <v>552.44000000000005</v>
      </c>
      <c r="E3" s="10">
        <f t="shared" ref="E3:E33" si="0">C3-D3</f>
        <v>16.829999999999927</v>
      </c>
      <c r="H3">
        <v>604.35</v>
      </c>
      <c r="I3">
        <v>601.33000000000004</v>
      </c>
    </row>
    <row r="4" spans="1:9" x14ac:dyDescent="0.3">
      <c r="A4" s="88"/>
      <c r="B4" s="9" t="s">
        <v>177</v>
      </c>
      <c r="C4" s="9">
        <v>639.79999999999995</v>
      </c>
      <c r="D4" s="9">
        <v>637.73</v>
      </c>
      <c r="E4" s="10">
        <f t="shared" si="0"/>
        <v>2.0699999999999363</v>
      </c>
      <c r="H4">
        <v>639.82000000000005</v>
      </c>
      <c r="I4">
        <v>636.54</v>
      </c>
    </row>
    <row r="5" spans="1:9" ht="15" thickBot="1" x14ac:dyDescent="0.35">
      <c r="A5" s="101"/>
      <c r="B5" s="12" t="s">
        <v>178</v>
      </c>
      <c r="C5" s="12">
        <v>356.93</v>
      </c>
      <c r="D5" s="12">
        <v>360.07499999999999</v>
      </c>
      <c r="E5" s="13">
        <f t="shared" si="0"/>
        <v>-3.1449999999999818</v>
      </c>
      <c r="H5">
        <v>358.54</v>
      </c>
      <c r="I5">
        <v>360.29</v>
      </c>
    </row>
    <row r="6" spans="1:9" x14ac:dyDescent="0.3">
      <c r="A6" s="88">
        <v>600</v>
      </c>
      <c r="B6" s="9" t="s">
        <v>175</v>
      </c>
      <c r="C6" s="9">
        <v>749.23</v>
      </c>
      <c r="D6" s="9">
        <v>736.18</v>
      </c>
      <c r="E6" s="10">
        <f t="shared" si="0"/>
        <v>13.050000000000068</v>
      </c>
    </row>
    <row r="7" spans="1:9" x14ac:dyDescent="0.3">
      <c r="A7" s="88"/>
      <c r="B7" s="9" t="s">
        <v>176</v>
      </c>
      <c r="C7" s="9">
        <v>746.52</v>
      </c>
      <c r="D7" s="9">
        <v>733.9</v>
      </c>
      <c r="E7" s="10">
        <f t="shared" si="0"/>
        <v>12.620000000000005</v>
      </c>
    </row>
    <row r="8" spans="1:9" x14ac:dyDescent="0.3">
      <c r="A8" s="88"/>
      <c r="B8" s="9" t="s">
        <v>177</v>
      </c>
      <c r="C8" s="9">
        <v>644.67999999999995</v>
      </c>
      <c r="D8" s="9">
        <v>643.97</v>
      </c>
      <c r="E8" s="10">
        <f t="shared" si="0"/>
        <v>0.70999999999992269</v>
      </c>
    </row>
    <row r="9" spans="1:9" ht="15" thickBot="1" x14ac:dyDescent="0.35">
      <c r="A9" s="88"/>
      <c r="B9" s="9" t="s">
        <v>178</v>
      </c>
      <c r="C9" s="9">
        <v>326.31</v>
      </c>
      <c r="D9" s="9">
        <v>334.51</v>
      </c>
      <c r="E9" s="10">
        <f t="shared" si="0"/>
        <v>-8.1999999999999886</v>
      </c>
    </row>
    <row r="10" spans="1:9" x14ac:dyDescent="0.3">
      <c r="A10" s="78">
        <v>800</v>
      </c>
      <c r="B10" s="15" t="s">
        <v>175</v>
      </c>
      <c r="C10" s="15">
        <v>576.37</v>
      </c>
      <c r="D10" s="15">
        <v>592.36</v>
      </c>
      <c r="E10" s="16">
        <f t="shared" si="0"/>
        <v>-15.990000000000009</v>
      </c>
    </row>
    <row r="11" spans="1:9" x14ac:dyDescent="0.3">
      <c r="A11" s="88"/>
      <c r="B11" s="9" t="s">
        <v>176</v>
      </c>
      <c r="C11" s="9">
        <v>577.12</v>
      </c>
      <c r="D11" s="9">
        <v>592.87</v>
      </c>
      <c r="E11" s="10">
        <f t="shared" si="0"/>
        <v>-15.75</v>
      </c>
    </row>
    <row r="12" spans="1:9" x14ac:dyDescent="0.3">
      <c r="A12" s="88"/>
      <c r="B12" s="9" t="s">
        <v>177</v>
      </c>
      <c r="C12" s="9">
        <v>636.04999999999995</v>
      </c>
      <c r="D12" s="9">
        <v>633.38</v>
      </c>
      <c r="E12" s="10">
        <f t="shared" si="0"/>
        <v>2.6699999999999591</v>
      </c>
    </row>
    <row r="13" spans="1:9" ht="15" thickBot="1" x14ac:dyDescent="0.35">
      <c r="A13" s="101"/>
      <c r="B13" s="12" t="s">
        <v>178</v>
      </c>
      <c r="C13" s="12">
        <v>365.56</v>
      </c>
      <c r="D13" s="12">
        <v>365.82</v>
      </c>
      <c r="E13" s="13">
        <f t="shared" si="0"/>
        <v>-0.25999999999999091</v>
      </c>
    </row>
    <row r="14" spans="1:9" x14ac:dyDescent="0.3">
      <c r="A14" s="88">
        <v>1000</v>
      </c>
      <c r="B14" s="9" t="s">
        <v>175</v>
      </c>
      <c r="C14" s="9">
        <v>644.04</v>
      </c>
      <c r="D14" s="9">
        <v>620.82000000000005</v>
      </c>
      <c r="E14" s="10">
        <f t="shared" si="0"/>
        <v>23.219999999999914</v>
      </c>
    </row>
    <row r="15" spans="1:9" x14ac:dyDescent="0.3">
      <c r="A15" s="88"/>
      <c r="B15" s="9" t="s">
        <v>176</v>
      </c>
      <c r="C15" s="9">
        <v>644.28</v>
      </c>
      <c r="D15" s="9">
        <v>621.76</v>
      </c>
      <c r="E15" s="10">
        <f t="shared" si="0"/>
        <v>22.519999999999982</v>
      </c>
    </row>
    <row r="16" spans="1:9" x14ac:dyDescent="0.3">
      <c r="A16" s="88"/>
      <c r="B16" s="9" t="s">
        <v>177</v>
      </c>
      <c r="C16" s="9">
        <v>642.12</v>
      </c>
      <c r="D16" s="9">
        <v>636.9</v>
      </c>
      <c r="E16" s="10">
        <f t="shared" si="0"/>
        <v>5.2200000000000273</v>
      </c>
    </row>
    <row r="17" spans="1:5" ht="15" thickBot="1" x14ac:dyDescent="0.35">
      <c r="A17" s="88"/>
      <c r="B17" s="9" t="s">
        <v>178</v>
      </c>
      <c r="C17" s="9">
        <v>359.97</v>
      </c>
      <c r="D17" s="9">
        <v>364.125</v>
      </c>
      <c r="E17" s="10">
        <f t="shared" si="0"/>
        <v>-4.1549999999999727</v>
      </c>
    </row>
    <row r="18" spans="1:5" x14ac:dyDescent="0.3">
      <c r="A18" s="78">
        <v>1200</v>
      </c>
      <c r="B18" s="15" t="s">
        <v>175</v>
      </c>
      <c r="C18" s="15">
        <v>693.41</v>
      </c>
      <c r="D18" s="15">
        <v>627.83000000000004</v>
      </c>
      <c r="E18" s="16">
        <f t="shared" si="0"/>
        <v>65.579999999999927</v>
      </c>
    </row>
    <row r="19" spans="1:5" x14ac:dyDescent="0.3">
      <c r="A19" s="88"/>
      <c r="B19" s="9" t="s">
        <v>176</v>
      </c>
      <c r="C19" s="9">
        <v>690</v>
      </c>
      <c r="D19" s="27">
        <v>626.92999999999995</v>
      </c>
      <c r="E19" s="10">
        <f t="shared" si="0"/>
        <v>63.07000000000005</v>
      </c>
    </row>
    <row r="20" spans="1:5" x14ac:dyDescent="0.3">
      <c r="A20" s="88"/>
      <c r="B20" s="9" t="s">
        <v>177</v>
      </c>
      <c r="C20" s="9">
        <v>643.41999999999996</v>
      </c>
      <c r="D20" s="27">
        <v>631.48</v>
      </c>
      <c r="E20" s="10">
        <f t="shared" si="0"/>
        <v>11.939999999999941</v>
      </c>
    </row>
    <row r="21" spans="1:5" ht="15" thickBot="1" x14ac:dyDescent="0.35">
      <c r="A21" s="101"/>
      <c r="B21" s="12" t="s">
        <v>178</v>
      </c>
      <c r="C21" s="12">
        <v>345.14</v>
      </c>
      <c r="D21" s="12">
        <v>372.78</v>
      </c>
      <c r="E21" s="13">
        <f t="shared" si="0"/>
        <v>-27.639999999999986</v>
      </c>
    </row>
    <row r="22" spans="1:5" x14ac:dyDescent="0.3">
      <c r="A22" s="88">
        <v>1400</v>
      </c>
      <c r="B22" s="9" t="s">
        <v>175</v>
      </c>
      <c r="C22" s="9">
        <v>560.05999999999995</v>
      </c>
      <c r="D22" s="27">
        <v>565.25</v>
      </c>
      <c r="E22" s="10">
        <f t="shared" si="0"/>
        <v>-5.1900000000000546</v>
      </c>
    </row>
    <row r="23" spans="1:5" x14ac:dyDescent="0.3">
      <c r="A23" s="88"/>
      <c r="B23" s="9" t="s">
        <v>176</v>
      </c>
      <c r="C23" s="9">
        <v>560.74</v>
      </c>
      <c r="D23" s="27">
        <v>565.74</v>
      </c>
      <c r="E23" s="10">
        <f t="shared" si="0"/>
        <v>-5</v>
      </c>
    </row>
    <row r="24" spans="1:5" x14ac:dyDescent="0.3">
      <c r="A24" s="88"/>
      <c r="B24" s="9" t="s">
        <v>177</v>
      </c>
      <c r="C24" s="9">
        <v>649.65</v>
      </c>
      <c r="D24" s="27">
        <v>649.29999999999995</v>
      </c>
      <c r="E24" s="10">
        <f t="shared" si="0"/>
        <v>0.35000000000002274</v>
      </c>
    </row>
    <row r="25" spans="1:5" ht="15" thickBot="1" x14ac:dyDescent="0.35">
      <c r="A25" s="88"/>
      <c r="B25" s="9" t="s">
        <v>178</v>
      </c>
      <c r="C25" s="9">
        <v>363.81</v>
      </c>
      <c r="D25" s="27">
        <v>362.73</v>
      </c>
      <c r="E25" s="10">
        <f t="shared" si="0"/>
        <v>1.0799999999999841</v>
      </c>
    </row>
    <row r="26" spans="1:5" x14ac:dyDescent="0.3">
      <c r="A26" s="78">
        <v>1600</v>
      </c>
      <c r="B26" s="15" t="s">
        <v>175</v>
      </c>
      <c r="C26" s="15">
        <v>625.76</v>
      </c>
      <c r="D26" s="15">
        <v>616.34</v>
      </c>
      <c r="E26" s="16">
        <f t="shared" si="0"/>
        <v>9.4199999999999591</v>
      </c>
    </row>
    <row r="27" spans="1:5" x14ac:dyDescent="0.3">
      <c r="A27" s="88"/>
      <c r="B27" s="9" t="s">
        <v>176</v>
      </c>
      <c r="C27" s="9">
        <v>626.16</v>
      </c>
      <c r="D27" s="27">
        <v>616.83100000000002</v>
      </c>
      <c r="E27" s="10">
        <f t="shared" si="0"/>
        <v>9.3289999999999509</v>
      </c>
    </row>
    <row r="28" spans="1:5" x14ac:dyDescent="0.3">
      <c r="A28" s="88"/>
      <c r="B28" s="9" t="s">
        <v>177</v>
      </c>
      <c r="C28" s="9">
        <v>637.44000000000005</v>
      </c>
      <c r="D28" s="27">
        <v>640.41</v>
      </c>
      <c r="E28" s="10">
        <f t="shared" si="0"/>
        <v>-2.9699999999999136</v>
      </c>
    </row>
    <row r="29" spans="1:5" ht="15" thickBot="1" x14ac:dyDescent="0.35">
      <c r="A29" s="101"/>
      <c r="B29" s="12" t="s">
        <v>178</v>
      </c>
      <c r="C29" s="12">
        <v>358.61</v>
      </c>
      <c r="D29" s="12">
        <v>357.84</v>
      </c>
      <c r="E29" s="13">
        <f t="shared" si="0"/>
        <v>0.77000000000003865</v>
      </c>
    </row>
    <row r="30" spans="1:5" x14ac:dyDescent="0.3">
      <c r="A30" s="88">
        <v>1800</v>
      </c>
      <c r="B30" s="9" t="s">
        <v>175</v>
      </c>
      <c r="C30" s="9">
        <v>630.67999999999995</v>
      </c>
      <c r="D30" s="27">
        <v>253.3</v>
      </c>
      <c r="E30" s="10">
        <f t="shared" si="0"/>
        <v>377.37999999999994</v>
      </c>
    </row>
    <row r="31" spans="1:5" x14ac:dyDescent="0.3">
      <c r="A31" s="88"/>
      <c r="B31" s="9" t="s">
        <v>176</v>
      </c>
      <c r="C31" s="9">
        <v>630.62</v>
      </c>
      <c r="D31" s="27">
        <v>259.7</v>
      </c>
      <c r="E31" s="10">
        <f t="shared" si="0"/>
        <v>370.92</v>
      </c>
    </row>
    <row r="32" spans="1:5" x14ac:dyDescent="0.3">
      <c r="A32" s="88"/>
      <c r="B32" s="9" t="s">
        <v>177</v>
      </c>
      <c r="C32" s="9">
        <v>637.02</v>
      </c>
      <c r="D32" s="27">
        <v>575.66999999999996</v>
      </c>
      <c r="E32" s="10">
        <f t="shared" si="0"/>
        <v>61.350000000000023</v>
      </c>
    </row>
    <row r="33" spans="1:5" ht="15" thickBot="1" x14ac:dyDescent="0.35">
      <c r="A33" s="101"/>
      <c r="B33" s="12" t="s">
        <v>178</v>
      </c>
      <c r="C33" s="12">
        <v>360.48</v>
      </c>
      <c r="D33" s="12">
        <v>419.19</v>
      </c>
      <c r="E33" s="13">
        <f t="shared" si="0"/>
        <v>-58.70999999999998</v>
      </c>
    </row>
  </sheetData>
  <mergeCells count="8">
    <mergeCell ref="A26:A29"/>
    <mergeCell ref="A30:A33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of contents</vt:lpstr>
      <vt:lpstr>uberseminar</vt:lpstr>
      <vt:lpstr>robot_trajectory_summary</vt:lpstr>
      <vt:lpstr>summary</vt:lpstr>
      <vt:lpstr>hand_trajectory_summary</vt:lpstr>
      <vt:lpstr>Trajectory_sync</vt:lpstr>
      <vt:lpstr>kinect_hand_eye</vt:lpstr>
      <vt:lpstr>CA_124</vt:lpstr>
      <vt:lpstr>CS_301</vt:lpstr>
      <vt:lpstr>CS_301_RED</vt:lpstr>
      <vt:lpstr>depth_calibration</vt:lpstr>
      <vt:lpstr>cluster_without_gt</vt:lpstr>
      <vt:lpstr>hand_trajectory</vt:lpstr>
      <vt:lpstr>playground</vt:lpstr>
      <vt:lpstr>hand_trajectory_backup</vt:lpstr>
      <vt:lpstr>hand_trajectory_summary_backup</vt:lpstr>
      <vt:lpstr>camera_calibration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2021-04-27T14:58:45Z</dcterms:modified>
</cp:coreProperties>
</file>