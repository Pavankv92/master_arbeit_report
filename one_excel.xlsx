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F10F3A39-FCBF-4650-9760-22FC9D09C5FE}" xr6:coauthVersionLast="36" xr6:coauthVersionMax="36" xr10:uidLastSave="{00000000-0000-0000-0000-000000000000}"/>
  <bookViews>
    <workbookView xWindow="0" yWindow="0" windowWidth="22260" windowHeight="12648" firstSheet="2" activeTab="3" xr2:uid="{00000000-000D-0000-FFFF-FFFF00000000}"/>
  </bookViews>
  <sheets>
    <sheet name="Table of contents" sheetId="4" r:id="rId1"/>
    <sheet name="uberseminar" sheetId="1" r:id="rId2"/>
    <sheet name="summary" sheetId="2" r:id="rId3"/>
    <sheet name="hand_trajectory_summary" sheetId="10" r:id="rId4"/>
    <sheet name="CA_124" sheetId="3" r:id="rId5"/>
    <sheet name="CS_301" sheetId="6" r:id="rId6"/>
    <sheet name="CS_301_RED" sheetId="7" r:id="rId7"/>
    <sheet name="depth_calibration" sheetId="8" r:id="rId8"/>
    <sheet name="hand_trajectory" sheetId="9" r:id="rId9"/>
    <sheet name="playground" sheetId="5" r:id="rId10"/>
    <sheet name="hand_trajectory_backup" sheetId="11" r:id="rId11"/>
    <sheet name="hand_trajectory_summary_backup" sheetId="1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O20" i="10"/>
  <c r="P20" i="10"/>
  <c r="N20" i="10"/>
  <c r="M20" i="10"/>
  <c r="L20" i="10"/>
  <c r="K20" i="10"/>
  <c r="J20" i="10"/>
  <c r="I20" i="10"/>
  <c r="H20" i="10"/>
  <c r="G20" i="10"/>
  <c r="F20" i="10"/>
  <c r="E20" i="10"/>
  <c r="P14" i="10" l="1"/>
  <c r="O14" i="10"/>
  <c r="N14" i="10"/>
  <c r="M14" i="10"/>
  <c r="L14" i="10"/>
  <c r="K14" i="10"/>
  <c r="J14" i="10"/>
  <c r="I14" i="10"/>
  <c r="H14" i="10"/>
  <c r="G14" i="10"/>
  <c r="F14" i="10"/>
  <c r="E14" i="10"/>
  <c r="P8" i="10"/>
  <c r="L8" i="10"/>
  <c r="K8" i="10"/>
  <c r="H8" i="10"/>
  <c r="G8" i="10"/>
  <c r="I8" i="10"/>
  <c r="J8" i="10"/>
  <c r="M8" i="10"/>
  <c r="N8" i="10"/>
  <c r="O8" i="10"/>
  <c r="F8" i="10"/>
  <c r="E8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5" i="8"/>
  <c r="A6" i="8" s="1"/>
  <c r="A7" i="8" s="1"/>
  <c r="A8" i="8" s="1"/>
  <c r="A9" i="8" s="1"/>
  <c r="A4" i="8"/>
  <c r="A3" i="8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<sst xmlns="http://schemas.openxmlformats.org/spreadsheetml/2006/main" count="561" uniqueCount="120">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</sst>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Kinect depth analysis with checker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depth_calibration!$B$1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depth_calibration!$B$2:$B$9</c:f>
              <c:numCache>
                <c:formatCode>General</c:formatCode>
                <c:ptCount val="8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  <c:pt idx="7">
                  <c:v>27.7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8A-4687-AC4E-A57A50D9B5C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75107696"/>
        <c:axId val="765248960"/>
      </c:scatterChart>
      <c:valAx>
        <c:axId val="77510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248960"/>
        <c:crosses val="autoZero"/>
        <c:crossBetween val="midCat"/>
      </c:valAx>
      <c:valAx>
        <c:axId val="76524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10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depth_calibration!$C$2:$C$9</c:f>
              <c:numCache>
                <c:formatCode>General</c:formatCode>
                <c:ptCount val="8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  <c:pt idx="7">
                  <c:v>35.6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CS_301_RED_13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23.35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CS_301_RED_14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198120</xdr:colOff>
      <xdr:row>0</xdr:row>
      <xdr:rowOff>133350</xdr:rowOff>
    </xdr:from>
    <xdr:to>
      <xdr:col>24</xdr:col>
      <xdr:colOff>487680</xdr:colOff>
      <xdr:row>24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358140</xdr:colOff>
      <xdr:row>3</xdr:row>
      <xdr:rowOff>148590</xdr:rowOff>
    </xdr:from>
    <xdr:to>
      <xdr:col>18</xdr:col>
      <xdr:colOff>434340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4B5C54-352F-499B-9CD6-6E125F0D5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975360</xdr:colOff>
      <xdr:row>11</xdr:row>
      <xdr:rowOff>57150</xdr:rowOff>
    </xdr:from>
    <xdr:to>
      <xdr:col>8</xdr:col>
      <xdr:colOff>434340</xdr:colOff>
      <xdr:row>27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54" t="s">
        <v>50</v>
      </c>
      <c r="B4" s="16" t="s">
        <v>54</v>
      </c>
    </row>
    <row r="5" spans="1:2" x14ac:dyDescent="0.3">
      <c r="A5" s="55"/>
      <c r="B5" s="10" t="s">
        <v>58</v>
      </c>
    </row>
    <row r="6" spans="1:2" x14ac:dyDescent="0.3">
      <c r="A6" s="55"/>
      <c r="B6" s="10" t="s">
        <v>55</v>
      </c>
    </row>
    <row r="7" spans="1:2" ht="15" thickBot="1" x14ac:dyDescent="0.35">
      <c r="A7" s="56"/>
      <c r="B7" s="13" t="s">
        <v>66</v>
      </c>
    </row>
    <row r="8" spans="1:2" x14ac:dyDescent="0.3">
      <c r="A8" s="54" t="s">
        <v>51</v>
      </c>
      <c r="B8" s="16" t="s">
        <v>57</v>
      </c>
    </row>
    <row r="9" spans="1:2" x14ac:dyDescent="0.3">
      <c r="A9" s="55"/>
      <c r="B9" s="10" t="s">
        <v>56</v>
      </c>
    </row>
    <row r="10" spans="1:2" x14ac:dyDescent="0.3">
      <c r="A10" s="55"/>
      <c r="B10" s="10" t="s">
        <v>63</v>
      </c>
    </row>
    <row r="11" spans="1:2" x14ac:dyDescent="0.3">
      <c r="A11" s="55"/>
      <c r="B11" s="10" t="s">
        <v>59</v>
      </c>
    </row>
    <row r="12" spans="1:2" ht="15" thickBot="1" x14ac:dyDescent="0.35">
      <c r="A12" s="56"/>
      <c r="B12" s="35" t="s">
        <v>64</v>
      </c>
    </row>
    <row r="13" spans="1:2" x14ac:dyDescent="0.3">
      <c r="A13" s="55" t="s">
        <v>52</v>
      </c>
      <c r="B13" s="10" t="s">
        <v>60</v>
      </c>
    </row>
    <row r="14" spans="1:2" x14ac:dyDescent="0.3">
      <c r="A14" s="55"/>
      <c r="B14" s="10" t="s">
        <v>67</v>
      </c>
    </row>
    <row r="15" spans="1:2" x14ac:dyDescent="0.3">
      <c r="A15" s="55"/>
      <c r="B15" s="10" t="s">
        <v>61</v>
      </c>
    </row>
    <row r="16" spans="1:2" ht="15" thickBot="1" x14ac:dyDescent="0.35">
      <c r="A16" s="56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60" t="s">
        <v>5</v>
      </c>
      <c r="C1" s="60"/>
      <c r="D1" s="60"/>
      <c r="E1" s="60"/>
      <c r="F1" s="60" t="s">
        <v>9</v>
      </c>
      <c r="G1" s="60"/>
      <c r="H1" s="60"/>
      <c r="I1" s="60"/>
      <c r="J1" s="60" t="s">
        <v>10</v>
      </c>
      <c r="K1" s="60"/>
      <c r="L1" s="60" t="s">
        <v>11</v>
      </c>
      <c r="M1" s="60"/>
      <c r="Q1" s="57" t="s">
        <v>18</v>
      </c>
      <c r="R1" s="58"/>
      <c r="S1" s="58"/>
      <c r="T1" s="59"/>
    </row>
    <row r="2" spans="1:20" x14ac:dyDescent="0.3">
      <c r="B2" s="60" t="s">
        <v>12</v>
      </c>
      <c r="C2" s="60"/>
      <c r="D2" s="60" t="s">
        <v>13</v>
      </c>
      <c r="E2" s="60"/>
      <c r="F2" s="60" t="s">
        <v>12</v>
      </c>
      <c r="G2" s="60"/>
      <c r="H2" s="60" t="s">
        <v>13</v>
      </c>
      <c r="I2" s="60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57" t="s">
        <v>20</v>
      </c>
      <c r="R6" s="58"/>
      <c r="S6" s="58"/>
      <c r="T6" s="59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A94"/>
  <sheetViews>
    <sheetView topLeftCell="L31" zoomScale="90" zoomScaleNormal="90" workbookViewId="0">
      <selection activeCell="X48" sqref="X48:AA56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61" t="s">
        <v>33</v>
      </c>
      <c r="B1" s="62" t="s">
        <v>26</v>
      </c>
      <c r="C1" s="65" t="s">
        <v>23</v>
      </c>
      <c r="D1" s="68" t="s">
        <v>24</v>
      </c>
      <c r="E1" s="62" t="s">
        <v>5</v>
      </c>
      <c r="F1" s="84"/>
      <c r="G1" s="84"/>
      <c r="H1" s="68"/>
      <c r="I1" s="62" t="s">
        <v>9</v>
      </c>
      <c r="J1" s="84"/>
      <c r="K1" s="84"/>
      <c r="L1" s="68"/>
      <c r="M1" s="62" t="s">
        <v>10</v>
      </c>
      <c r="N1" s="68"/>
      <c r="O1" s="62" t="s">
        <v>11</v>
      </c>
      <c r="P1" s="68"/>
    </row>
    <row r="2" spans="1:18" x14ac:dyDescent="0.3">
      <c r="A2" s="61"/>
      <c r="B2" s="63"/>
      <c r="C2" s="66"/>
      <c r="D2" s="69"/>
      <c r="E2" s="63" t="s">
        <v>12</v>
      </c>
      <c r="F2" s="83"/>
      <c r="G2" s="83" t="s">
        <v>13</v>
      </c>
      <c r="H2" s="69"/>
      <c r="I2" s="63" t="s">
        <v>12</v>
      </c>
      <c r="J2" s="83"/>
      <c r="K2" s="83" t="s">
        <v>13</v>
      </c>
      <c r="L2" s="69"/>
      <c r="M2" s="22"/>
      <c r="N2" s="23"/>
      <c r="O2" s="22"/>
      <c r="P2" s="23"/>
    </row>
    <row r="3" spans="1:18" ht="15" thickBot="1" x14ac:dyDescent="0.35">
      <c r="A3" s="61"/>
      <c r="B3" s="64"/>
      <c r="C3" s="67"/>
      <c r="D3" s="70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</row>
    <row r="4" spans="1:18" x14ac:dyDescent="0.3">
      <c r="A4" s="61"/>
      <c r="B4" s="74" t="s">
        <v>37</v>
      </c>
      <c r="C4" s="77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61"/>
      <c r="B5" s="75"/>
      <c r="C5" s="78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61"/>
      <c r="B6" s="75"/>
      <c r="C6" s="78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61"/>
      <c r="B7" s="75"/>
      <c r="C7" s="78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61"/>
      <c r="B8" s="75"/>
      <c r="C8" s="78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61"/>
      <c r="B9" s="75"/>
      <c r="C9" s="78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61"/>
      <c r="B10" s="75"/>
      <c r="C10" s="79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61"/>
      <c r="B11" s="75"/>
      <c r="C11" s="77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61"/>
      <c r="B12" s="75"/>
      <c r="C12" s="78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61"/>
      <c r="B13" s="75"/>
      <c r="C13" s="78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61"/>
      <c r="B14" s="75"/>
      <c r="C14" s="78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61"/>
      <c r="B15" s="75"/>
      <c r="C15" s="78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61"/>
      <c r="B16" s="75"/>
      <c r="C16" s="78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61"/>
      <c r="B17" s="75"/>
      <c r="C17" s="79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61"/>
      <c r="B18" s="77" t="s">
        <v>38</v>
      </c>
      <c r="C18" s="77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61"/>
      <c r="B19" s="78"/>
      <c r="C19" s="78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61"/>
      <c r="B20" s="78"/>
      <c r="C20" s="78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61"/>
      <c r="B21" s="78"/>
      <c r="C21" s="78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61"/>
      <c r="B22" s="78"/>
      <c r="C22" s="78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61"/>
      <c r="B23" s="78"/>
      <c r="C23" s="78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61"/>
      <c r="B24" s="79"/>
      <c r="C24" s="79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74">
        <v>14</v>
      </c>
      <c r="C26" s="77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75"/>
      <c r="C27" s="78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75"/>
      <c r="C28" s="78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75"/>
      <c r="C29" s="78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75"/>
      <c r="C30" s="78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75"/>
      <c r="C31" s="78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75"/>
      <c r="C32" s="79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75"/>
      <c r="C33" s="77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75"/>
      <c r="C34" s="78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75"/>
      <c r="C35" s="78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75"/>
      <c r="C36" s="78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75"/>
      <c r="C37" s="78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75"/>
      <c r="C38" s="78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76"/>
      <c r="C39" s="79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74">
        <v>25</v>
      </c>
      <c r="C40" s="71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1.9199999999999998E-2</v>
      </c>
      <c r="J40" s="15">
        <v>1.5299999999999999E-2</v>
      </c>
      <c r="K40" s="15">
        <v>2.7307999999999999</v>
      </c>
      <c r="L40" s="15">
        <v>0.68959999999999999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75"/>
      <c r="C41" s="72"/>
      <c r="D41" s="9">
        <v>2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75"/>
      <c r="C42" s="72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75"/>
      <c r="C43" s="72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80" t="s">
        <v>86</v>
      </c>
      <c r="Y43" s="81"/>
      <c r="Z43" s="81"/>
      <c r="AA43" s="82"/>
    </row>
    <row r="44" spans="2:27" x14ac:dyDescent="0.3">
      <c r="B44" s="75"/>
      <c r="C44" s="72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75"/>
      <c r="C45" s="72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76"/>
      <c r="C46" s="73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80" t="s">
        <v>18</v>
      </c>
      <c r="Y48" s="81"/>
      <c r="Z48" s="81"/>
      <c r="AA48" s="82"/>
    </row>
    <row r="49" spans="1:27" x14ac:dyDescent="0.3">
      <c r="X49" s="3"/>
      <c r="Y49" s="2" t="s">
        <v>16</v>
      </c>
      <c r="Z49" s="4" t="s">
        <v>19</v>
      </c>
      <c r="AA49" s="4" t="s">
        <v>17</v>
      </c>
    </row>
    <row r="50" spans="1:27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5.9999999999999991</v>
      </c>
      <c r="J50">
        <f>AVERAGE(J40,J18)*1000</f>
        <v>13.700000000000001</v>
      </c>
      <c r="K50">
        <f>AVERAGE(K40,K18)</f>
        <v>3.7643500000000003</v>
      </c>
      <c r="L50">
        <f>AVERAGE(L40,L18)</f>
        <v>1.20685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7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7" ht="15" thickBot="1" x14ac:dyDescent="0.35"/>
    <row r="53" spans="1:27" x14ac:dyDescent="0.3">
      <c r="A53" s="74" t="s">
        <v>39</v>
      </c>
      <c r="B53" s="71" t="s">
        <v>37</v>
      </c>
      <c r="C53" s="71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80" t="s">
        <v>20</v>
      </c>
      <c r="Y53" s="81"/>
      <c r="Z53" s="81"/>
      <c r="AA53" s="82"/>
    </row>
    <row r="54" spans="1:27" x14ac:dyDescent="0.3">
      <c r="A54" s="75"/>
      <c r="B54" s="72"/>
      <c r="C54" s="72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7" x14ac:dyDescent="0.3">
      <c r="A55" s="75"/>
      <c r="B55" s="72"/>
      <c r="C55" s="72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7" ht="15" thickBot="1" x14ac:dyDescent="0.35">
      <c r="A56" s="75"/>
      <c r="B56" s="72"/>
      <c r="C56" s="72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7" x14ac:dyDescent="0.3">
      <c r="A57" s="75"/>
      <c r="B57" s="72"/>
      <c r="C57" s="72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7" x14ac:dyDescent="0.3">
      <c r="A58" s="75"/>
      <c r="B58" s="72"/>
      <c r="C58" s="72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7" x14ac:dyDescent="0.3">
      <c r="A59" s="75"/>
      <c r="B59" s="72"/>
      <c r="C59" s="72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7" x14ac:dyDescent="0.3">
      <c r="A60" s="75"/>
      <c r="B60" s="72" t="s">
        <v>38</v>
      </c>
      <c r="C60" s="72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7" x14ac:dyDescent="0.3">
      <c r="A61" s="75"/>
      <c r="B61" s="72"/>
      <c r="C61" s="72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7" x14ac:dyDescent="0.3">
      <c r="A62" s="75"/>
      <c r="B62" s="72"/>
      <c r="C62" s="72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7" x14ac:dyDescent="0.3">
      <c r="A63" s="75"/>
      <c r="B63" s="72"/>
      <c r="C63" s="72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7" x14ac:dyDescent="0.3">
      <c r="A64" s="75"/>
      <c r="B64" s="72"/>
      <c r="C64" s="72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75"/>
      <c r="B65" s="72"/>
      <c r="C65" s="72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76"/>
      <c r="B66" s="73"/>
      <c r="C66" s="73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74" t="s">
        <v>2</v>
      </c>
      <c r="B70" s="71">
        <v>14</v>
      </c>
      <c r="C70" s="71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75"/>
      <c r="B71" s="72"/>
      <c r="C71" s="72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75"/>
      <c r="B72" s="72"/>
      <c r="C72" s="72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75"/>
      <c r="B73" s="72"/>
      <c r="C73" s="72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75"/>
      <c r="B74" s="72"/>
      <c r="C74" s="72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75"/>
      <c r="B75" s="72"/>
      <c r="C75" s="72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75"/>
      <c r="B76" s="72"/>
      <c r="C76" s="72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75"/>
      <c r="B77" s="72">
        <v>25</v>
      </c>
      <c r="C77" s="72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9.1999999999999998E-3</v>
      </c>
      <c r="J77" s="27">
        <v>1.38E-2</v>
      </c>
      <c r="K77" s="27">
        <v>4.7093999999999996</v>
      </c>
      <c r="L77" s="27">
        <v>1.7585</v>
      </c>
      <c r="M77" s="9">
        <v>1.4E-2</v>
      </c>
      <c r="N77" s="9">
        <v>6.0000000000000001E-3</v>
      </c>
      <c r="O77" s="10">
        <v>6.0000000000000001E-3</v>
      </c>
    </row>
    <row r="78" spans="1:17" x14ac:dyDescent="0.3">
      <c r="A78" s="75"/>
      <c r="B78" s="72"/>
      <c r="C78" s="72"/>
      <c r="D78" s="9">
        <v>2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10"/>
    </row>
    <row r="79" spans="1:17" x14ac:dyDescent="0.3">
      <c r="A79" s="75"/>
      <c r="B79" s="72"/>
      <c r="C79" s="72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75"/>
      <c r="B80" s="72"/>
      <c r="C80" s="72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75"/>
      <c r="B81" s="72"/>
      <c r="C81" s="72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75"/>
      <c r="B82" s="72"/>
      <c r="C82" s="72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76"/>
      <c r="B83" s="73"/>
      <c r="C83" s="73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9.2999999999999989</v>
      </c>
      <c r="J86">
        <f>AVERAGE(J60,J77)*1000</f>
        <v>11.4</v>
      </c>
      <c r="K86" s="25">
        <f>AVERAGE(K60,K77)</f>
        <v>4.03925</v>
      </c>
      <c r="L86">
        <f>AVERAGE(L60,L77)</f>
        <v>1.5247999999999999</v>
      </c>
      <c r="M86">
        <f>AVERAGE(M60,M77)*1000</f>
        <v>11.5</v>
      </c>
      <c r="N86">
        <f>AVERAGE(N60,N77)*1000</f>
        <v>4.5000000000000009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1.1999999999999999E-3</v>
      </c>
      <c r="F89">
        <v>2.8E-3</v>
      </c>
      <c r="G89">
        <v>0.75800000000000001</v>
      </c>
      <c r="H89">
        <v>0.42959999999999998</v>
      </c>
      <c r="I89">
        <v>6.1000000000000004E-3</v>
      </c>
      <c r="J89">
        <v>1.2999999999999999E-2</v>
      </c>
      <c r="K89">
        <v>6.04</v>
      </c>
      <c r="L89">
        <v>3.05</v>
      </c>
      <c r="M89">
        <v>1.6E-2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1.1999999999999999E-3</v>
      </c>
      <c r="F92">
        <v>2.8999999999999998E-3</v>
      </c>
      <c r="G92">
        <v>0.76300000000000001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</v>
      </c>
      <c r="F94">
        <f>AVERAGE(F89,F92)*1000</f>
        <v>2.85</v>
      </c>
      <c r="G94">
        <f>AVERAGE(G89,G92)</f>
        <v>0.76049999999999995</v>
      </c>
      <c r="H94">
        <f>AVERAGE(H89,H92)</f>
        <v>0.42979999999999996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5"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V39"/>
  <sheetViews>
    <sheetView tabSelected="1" workbookViewId="0">
      <selection activeCell="H24" sqref="H24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77" t="s">
        <v>95</v>
      </c>
      <c r="B1" s="74" t="s">
        <v>26</v>
      </c>
      <c r="C1" s="77" t="s">
        <v>23</v>
      </c>
      <c r="D1" s="85" t="s">
        <v>24</v>
      </c>
      <c r="E1" s="74" t="s">
        <v>5</v>
      </c>
      <c r="F1" s="71"/>
      <c r="G1" s="71"/>
      <c r="H1" s="85"/>
      <c r="I1" s="74" t="s">
        <v>9</v>
      </c>
      <c r="J1" s="71"/>
      <c r="K1" s="71"/>
      <c r="L1" s="85"/>
      <c r="M1" s="74" t="s">
        <v>10</v>
      </c>
      <c r="N1" s="85"/>
      <c r="O1" s="74" t="s">
        <v>11</v>
      </c>
      <c r="P1" s="85"/>
    </row>
    <row r="2" spans="1:22" x14ac:dyDescent="0.3">
      <c r="A2" s="78"/>
      <c r="B2" s="75"/>
      <c r="C2" s="78"/>
      <c r="D2" s="86"/>
      <c r="E2" s="75" t="s">
        <v>12</v>
      </c>
      <c r="F2" s="72"/>
      <c r="G2" s="72" t="s">
        <v>13</v>
      </c>
      <c r="H2" s="86"/>
      <c r="I2" s="75" t="s">
        <v>12</v>
      </c>
      <c r="J2" s="72"/>
      <c r="K2" s="72" t="s">
        <v>13</v>
      </c>
      <c r="L2" s="86"/>
      <c r="M2" s="45"/>
      <c r="N2" s="50"/>
      <c r="O2" s="45"/>
      <c r="P2" s="50"/>
    </row>
    <row r="3" spans="1:22" ht="15" thickBot="1" x14ac:dyDescent="0.35">
      <c r="A3" s="79"/>
      <c r="B3" s="76"/>
      <c r="C3" s="79"/>
      <c r="D3" s="87"/>
      <c r="E3" s="46" t="s">
        <v>7</v>
      </c>
      <c r="F3" s="44" t="s">
        <v>8</v>
      </c>
      <c r="G3" s="44" t="s">
        <v>7</v>
      </c>
      <c r="H3" s="51" t="s">
        <v>8</v>
      </c>
      <c r="I3" s="46" t="s">
        <v>7</v>
      </c>
      <c r="J3" s="44" t="s">
        <v>8</v>
      </c>
      <c r="K3" s="44" t="s">
        <v>7</v>
      </c>
      <c r="L3" s="51" t="s">
        <v>8</v>
      </c>
      <c r="M3" s="46" t="s">
        <v>7</v>
      </c>
      <c r="N3" s="51" t="s">
        <v>8</v>
      </c>
      <c r="O3" s="46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0" t="s">
        <v>86</v>
      </c>
      <c r="T4" s="81"/>
      <c r="U4" s="81"/>
      <c r="V4" s="82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80" t="s">
        <v>18</v>
      </c>
      <c r="T9" s="81"/>
      <c r="U9" s="81"/>
      <c r="V9" s="82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 s="20">
        <v>1.523E-2</v>
      </c>
      <c r="N10">
        <v>1.2E-2</v>
      </c>
      <c r="O10" s="2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 s="20">
        <v>1.4239999999999999E-2</v>
      </c>
      <c r="N11">
        <v>1.6E-2</v>
      </c>
      <c r="O11" s="20">
        <v>1.329E-2</v>
      </c>
      <c r="R11" s="9"/>
      <c r="S11" s="3" t="s">
        <v>14</v>
      </c>
      <c r="T11" s="2" t="s">
        <v>104</v>
      </c>
      <c r="U11" s="4" t="s">
        <v>106</v>
      </c>
      <c r="V11" s="4"/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 s="20">
        <v>2.3879999999999998E-2</v>
      </c>
      <c r="N12">
        <v>1.6E-2</v>
      </c>
      <c r="O12" s="20">
        <v>1.7999999999999999E-2</v>
      </c>
      <c r="R12" s="9"/>
      <c r="S12" s="5" t="s">
        <v>15</v>
      </c>
      <c r="T12" s="6" t="s">
        <v>105</v>
      </c>
      <c r="U12" s="7" t="s">
        <v>107</v>
      </c>
      <c r="V12" s="7"/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80" t="s">
        <v>20</v>
      </c>
      <c r="T14" s="81"/>
      <c r="U14" s="81"/>
      <c r="V14" s="82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116</v>
      </c>
      <c r="B16">
        <v>21</v>
      </c>
      <c r="E16">
        <v>1.0200000000000001E-2</v>
      </c>
      <c r="F16">
        <v>7.1999999999999998E-3</v>
      </c>
      <c r="G16">
        <v>1.4931000000000001</v>
      </c>
      <c r="H16">
        <v>0.752</v>
      </c>
      <c r="I16">
        <v>1.4999999999999999E-2</v>
      </c>
      <c r="J16">
        <v>7.4099999999999999E-2</v>
      </c>
      <c r="K16">
        <v>16.2883</v>
      </c>
      <c r="L16">
        <v>8.7365999999999993</v>
      </c>
      <c r="M16">
        <v>2.3400000000000001E-2</v>
      </c>
      <c r="N16">
        <v>1.7999999999999999E-2</v>
      </c>
      <c r="O16">
        <v>1.6E-2</v>
      </c>
      <c r="R16" s="9"/>
      <c r="S16" s="3" t="s">
        <v>21</v>
      </c>
      <c r="T16" s="2" t="s">
        <v>99</v>
      </c>
      <c r="U16" s="4" t="s">
        <v>100</v>
      </c>
      <c r="V16" s="4"/>
    </row>
    <row r="17" spans="1:22" ht="15" thickBot="1" x14ac:dyDescent="0.35">
      <c r="A17" t="s">
        <v>117</v>
      </c>
      <c r="B17">
        <v>21</v>
      </c>
      <c r="E17">
        <v>1.01E-2</v>
      </c>
      <c r="F17">
        <v>7.3000000000000001E-3</v>
      </c>
      <c r="G17">
        <v>1.4663999999999999</v>
      </c>
      <c r="H17">
        <v>0.85129999999999995</v>
      </c>
      <c r="I17">
        <v>1.1299999999999999E-2</v>
      </c>
      <c r="J17">
        <v>0.1065</v>
      </c>
      <c r="K17">
        <v>20.1435</v>
      </c>
      <c r="L17">
        <v>13.0496</v>
      </c>
      <c r="M17">
        <v>2.2329999999999999E-2</v>
      </c>
      <c r="N17">
        <v>1.4E-2</v>
      </c>
      <c r="O17">
        <v>1.6500000000000001E-2</v>
      </c>
      <c r="R17" s="9"/>
      <c r="S17" s="5" t="s">
        <v>22</v>
      </c>
      <c r="T17" s="6" t="s">
        <v>98</v>
      </c>
      <c r="U17" s="7" t="s">
        <v>101</v>
      </c>
      <c r="V17" s="7"/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AVERAGE(E17:E18)*1000</f>
        <v>10.1</v>
      </c>
      <c r="F20" s="52">
        <f>AVERAGE(F17:F18)*1000</f>
        <v>7.3</v>
      </c>
      <c r="G20" s="52">
        <f>AVERAGE(G17:G18)</f>
        <v>1.4663999999999999</v>
      </c>
      <c r="H20" s="52">
        <f>AVERAGE(H17:H18)</f>
        <v>0.85129999999999995</v>
      </c>
      <c r="I20" s="52">
        <f>AVERAGE(I17:I18)*1000</f>
        <v>11.299999999999999</v>
      </c>
      <c r="J20" s="52">
        <f>AVERAGE(J17:J18)*1000</f>
        <v>106.5</v>
      </c>
      <c r="K20" s="52">
        <f>AVERAGE(K17:K18)</f>
        <v>20.1435</v>
      </c>
      <c r="L20" s="52">
        <f>AVERAGE(L17:L18)</f>
        <v>13.0496</v>
      </c>
      <c r="M20" s="52">
        <f>AVERAGE(M17:M18)*1000</f>
        <v>22.33</v>
      </c>
      <c r="N20" s="52">
        <f>AVERAGE(N17:N18)*1000</f>
        <v>14</v>
      </c>
      <c r="O20" s="52">
        <f>AVERAGE(O16:O18)*1000</f>
        <v>16.25</v>
      </c>
      <c r="P20" s="52">
        <f>_xlfn.STDEV.P(O16:O18)*1000</f>
        <v>0.25000000000000022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A1:A3"/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A71" zoomScale="85" zoomScaleNormal="85" workbookViewId="0">
      <selection activeCell="V84" sqref="V84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1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61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61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61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61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61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61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61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61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61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61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61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61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61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61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61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61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61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61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61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61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61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1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61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61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61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61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61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61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61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61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61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61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61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61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61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61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61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61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61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61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61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60" t="s">
        <v>30</v>
      </c>
      <c r="B45" s="60" t="s">
        <v>29</v>
      </c>
      <c r="C45" s="60"/>
      <c r="D45" s="60"/>
      <c r="E45" s="88" t="s">
        <v>36</v>
      </c>
      <c r="F45" s="88"/>
      <c r="G45" s="88" t="s">
        <v>29</v>
      </c>
      <c r="H45" s="88"/>
      <c r="I45" s="88"/>
      <c r="J45" s="60" t="s">
        <v>36</v>
      </c>
      <c r="K45" s="60"/>
    </row>
    <row r="46" spans="1:11" x14ac:dyDescent="0.3">
      <c r="A46" s="60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1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61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61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61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61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61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61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61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61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61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61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61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61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61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61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61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61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61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61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60" t="s">
        <v>30</v>
      </c>
      <c r="B67" s="60" t="s">
        <v>29</v>
      </c>
      <c r="C67" s="60"/>
      <c r="D67" s="60"/>
      <c r="E67" s="88" t="s">
        <v>36</v>
      </c>
      <c r="F67" s="88"/>
      <c r="G67" s="88" t="s">
        <v>29</v>
      </c>
      <c r="H67" s="88"/>
      <c r="I67" s="88"/>
      <c r="J67" s="60" t="s">
        <v>36</v>
      </c>
      <c r="K67" s="60"/>
    </row>
    <row r="68" spans="1:11" x14ac:dyDescent="0.3">
      <c r="A68" s="60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1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61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61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61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61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61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61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61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61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61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61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61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61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61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61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61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61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61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61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60" t="s">
        <v>30</v>
      </c>
      <c r="B89" s="60" t="s">
        <v>29</v>
      </c>
      <c r="C89" s="60"/>
      <c r="D89" s="60"/>
      <c r="E89" s="88" t="s">
        <v>36</v>
      </c>
      <c r="F89" s="88"/>
      <c r="G89" s="88" t="s">
        <v>29</v>
      </c>
      <c r="H89" s="88"/>
      <c r="I89" s="88"/>
      <c r="J89" s="60" t="s">
        <v>36</v>
      </c>
      <c r="K89" s="60"/>
    </row>
    <row r="90" spans="1:11" x14ac:dyDescent="0.3">
      <c r="A90" s="60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61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61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61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61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61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61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61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61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61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61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61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61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61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61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61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61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61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61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61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61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60" t="s">
        <v>30</v>
      </c>
      <c r="B111" s="60" t="s">
        <v>29</v>
      </c>
      <c r="C111" s="60"/>
      <c r="D111" s="60"/>
      <c r="E111" s="88" t="s">
        <v>36</v>
      </c>
      <c r="F111" s="88"/>
      <c r="G111" s="88" t="s">
        <v>29</v>
      </c>
      <c r="H111" s="88"/>
      <c r="I111" s="88"/>
      <c r="J111" s="60" t="s">
        <v>36</v>
      </c>
      <c r="K111" s="60"/>
    </row>
    <row r="112" spans="1:11" x14ac:dyDescent="0.3">
      <c r="A112" s="60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61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61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61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61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61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61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61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61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61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61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61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61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61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61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61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61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61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61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61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3:A22"/>
    <mergeCell ref="A25:A44"/>
    <mergeCell ref="G23:I23"/>
    <mergeCell ref="B23:D23"/>
    <mergeCell ref="E23:F23"/>
    <mergeCell ref="B1:D1"/>
    <mergeCell ref="E1:F1"/>
    <mergeCell ref="G1:I1"/>
    <mergeCell ref="J1:K1"/>
    <mergeCell ref="A1:A2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J111:K111"/>
    <mergeCell ref="B89:D89"/>
    <mergeCell ref="E89:F89"/>
    <mergeCell ref="G89:I89"/>
    <mergeCell ref="J89:K89"/>
    <mergeCell ref="A113:A131"/>
    <mergeCell ref="A111:A112"/>
    <mergeCell ref="B111:D111"/>
    <mergeCell ref="E111:F111"/>
    <mergeCell ref="G111:I11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topLeftCell="C91" workbookViewId="0">
      <selection activeCell="N101" sqref="N10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1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61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61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61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61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61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61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61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61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61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61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61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61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61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61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61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61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61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61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61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61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61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1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61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61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61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61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61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61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61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61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61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61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61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61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61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61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61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61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61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61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61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61" t="s">
        <v>30</v>
      </c>
      <c r="B45" s="60" t="s">
        <v>29</v>
      </c>
      <c r="C45" s="60"/>
      <c r="D45" s="60"/>
      <c r="E45" s="60" t="s">
        <v>36</v>
      </c>
      <c r="F45" s="60"/>
      <c r="G45" s="60" t="s">
        <v>29</v>
      </c>
      <c r="H45" s="60"/>
      <c r="I45" s="60"/>
      <c r="J45" s="60" t="s">
        <v>36</v>
      </c>
      <c r="K45" s="60"/>
    </row>
    <row r="46" spans="1:11" x14ac:dyDescent="0.3">
      <c r="A46" s="61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1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61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61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61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61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61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61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61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61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61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61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61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61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61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61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61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61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61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61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61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61" t="s">
        <v>30</v>
      </c>
      <c r="B67" s="60" t="s">
        <v>29</v>
      </c>
      <c r="C67" s="60"/>
      <c r="D67" s="60"/>
      <c r="E67" s="60" t="s">
        <v>36</v>
      </c>
      <c r="F67" s="60"/>
      <c r="G67" s="60" t="s">
        <v>29</v>
      </c>
      <c r="H67" s="60"/>
      <c r="I67" s="60"/>
      <c r="J67" s="60" t="s">
        <v>36</v>
      </c>
      <c r="K67" s="60"/>
    </row>
    <row r="68" spans="1:11" x14ac:dyDescent="0.3">
      <c r="A68" s="61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1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61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61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61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61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61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61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61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61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61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61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61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61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61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61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61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61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61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61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61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61" t="s">
        <v>30</v>
      </c>
      <c r="B89" s="60" t="s">
        <v>29</v>
      </c>
      <c r="C89" s="60"/>
      <c r="D89" s="60"/>
      <c r="E89" s="60" t="s">
        <v>36</v>
      </c>
      <c r="F89" s="60"/>
      <c r="G89" s="60" t="s">
        <v>29</v>
      </c>
      <c r="H89" s="60"/>
      <c r="I89" s="60"/>
      <c r="J89" s="60" t="s">
        <v>36</v>
      </c>
      <c r="K89" s="60"/>
    </row>
    <row r="90" spans="1:14" x14ac:dyDescent="0.3">
      <c r="A90" s="61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61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61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61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61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3"/>
    </row>
    <row r="95" spans="1:14" x14ac:dyDescent="0.3">
      <c r="A95" s="61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61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61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61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61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61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61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61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61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61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61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61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61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61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61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61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61" t="s">
        <v>30</v>
      </c>
      <c r="B111" s="60" t="s">
        <v>29</v>
      </c>
      <c r="C111" s="60"/>
      <c r="D111" s="60"/>
      <c r="E111" s="60" t="s">
        <v>36</v>
      </c>
      <c r="F111" s="60"/>
      <c r="G111" s="60" t="s">
        <v>29</v>
      </c>
      <c r="H111" s="60"/>
      <c r="I111" s="60"/>
      <c r="J111" s="60" t="s">
        <v>36</v>
      </c>
      <c r="K111" s="60"/>
    </row>
    <row r="112" spans="1:11" x14ac:dyDescent="0.3">
      <c r="A112" s="61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61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61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61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61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61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61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61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61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61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61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61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61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61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61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61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61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61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61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61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61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  <mergeCell ref="A1:A2"/>
    <mergeCell ref="B1:D1"/>
    <mergeCell ref="E1:F1"/>
    <mergeCell ref="G1:I1"/>
    <mergeCell ref="J1:K1"/>
    <mergeCell ref="J23:K23"/>
    <mergeCell ref="A23:A24"/>
    <mergeCell ref="A69:A88"/>
    <mergeCell ref="J45:K45"/>
    <mergeCell ref="A47:A66"/>
    <mergeCell ref="A67:A68"/>
    <mergeCell ref="B67:D67"/>
    <mergeCell ref="A89:A90"/>
    <mergeCell ref="B89:D89"/>
    <mergeCell ref="E89:F89"/>
    <mergeCell ref="G89:I89"/>
    <mergeCell ref="G111:I111"/>
    <mergeCell ref="J111:K111"/>
    <mergeCell ref="E67:F67"/>
    <mergeCell ref="G67:I67"/>
    <mergeCell ref="J67:K67"/>
    <mergeCell ref="J89:K89"/>
    <mergeCell ref="A113:A132"/>
    <mergeCell ref="A91:A110"/>
    <mergeCell ref="A111:A112"/>
    <mergeCell ref="B111:D111"/>
    <mergeCell ref="E111:F11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61" workbookViewId="0">
      <selection activeCell="T35" sqref="T35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1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61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61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61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61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61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61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61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61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61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61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61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61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61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61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61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61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61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61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61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61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61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1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61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61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61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61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61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61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61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61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61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61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61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61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61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61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61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61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61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61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61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61" t="s">
        <v>30</v>
      </c>
      <c r="B45" s="60" t="s">
        <v>29</v>
      </c>
      <c r="C45" s="60"/>
      <c r="D45" s="60"/>
      <c r="E45" s="60" t="s">
        <v>36</v>
      </c>
      <c r="F45" s="60"/>
      <c r="G45" s="60" t="s">
        <v>29</v>
      </c>
      <c r="H45" s="60"/>
      <c r="I45" s="60"/>
      <c r="J45" s="60" t="s">
        <v>36</v>
      </c>
      <c r="K45" s="60"/>
    </row>
    <row r="46" spans="1:11" x14ac:dyDescent="0.3">
      <c r="A46" s="61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1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61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61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61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61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61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61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61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61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61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61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61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61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61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61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61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61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61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61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61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61" t="s">
        <v>30</v>
      </c>
      <c r="B67" s="60" t="s">
        <v>29</v>
      </c>
      <c r="C67" s="60"/>
      <c r="D67" s="60"/>
      <c r="E67" s="60" t="s">
        <v>36</v>
      </c>
      <c r="F67" s="60"/>
      <c r="G67" s="60" t="s">
        <v>29</v>
      </c>
      <c r="H67" s="60"/>
      <c r="I67" s="60"/>
      <c r="J67" s="60" t="s">
        <v>36</v>
      </c>
      <c r="K67" s="60"/>
    </row>
    <row r="68" spans="1:11" x14ac:dyDescent="0.3">
      <c r="A68" s="61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1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61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61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61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61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61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61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61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61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61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61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61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61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61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61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61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61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61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61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61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61" t="s">
        <v>30</v>
      </c>
      <c r="B89" s="60" t="s">
        <v>29</v>
      </c>
      <c r="C89" s="60"/>
      <c r="D89" s="60"/>
      <c r="E89" s="60" t="s">
        <v>36</v>
      </c>
      <c r="F89" s="60"/>
      <c r="G89" s="60" t="s">
        <v>29</v>
      </c>
      <c r="H89" s="60"/>
      <c r="I89" s="60"/>
      <c r="J89" s="60" t="s">
        <v>36</v>
      </c>
      <c r="K89" s="60"/>
    </row>
    <row r="90" spans="1:11" x14ac:dyDescent="0.3">
      <c r="A90" s="61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61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61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61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61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61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61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61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61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61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61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61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61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61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61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61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61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61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61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61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61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C9"/>
  <sheetViews>
    <sheetView workbookViewId="0">
      <selection activeCell="G5" sqref="G5"/>
    </sheetView>
  </sheetViews>
  <sheetFormatPr defaultRowHeight="14.4" x14ac:dyDescent="0.3"/>
  <cols>
    <col min="1" max="1" width="16.88671875" customWidth="1"/>
    <col min="2" max="2" width="18" bestFit="1" customWidth="1"/>
  </cols>
  <sheetData>
    <row r="1" spans="1:3" x14ac:dyDescent="0.3">
      <c r="A1" t="s">
        <v>81</v>
      </c>
      <c r="B1" t="s">
        <v>82</v>
      </c>
      <c r="C1" t="s">
        <v>82</v>
      </c>
    </row>
    <row r="2" spans="1:3" x14ac:dyDescent="0.3">
      <c r="A2">
        <v>400</v>
      </c>
      <c r="B2">
        <v>10.1</v>
      </c>
      <c r="C2">
        <v>12.4</v>
      </c>
    </row>
    <row r="3" spans="1:3" x14ac:dyDescent="0.3">
      <c r="A3">
        <f>A2+200</f>
        <v>600</v>
      </c>
      <c r="B3">
        <v>11.5</v>
      </c>
      <c r="C3">
        <v>14.5</v>
      </c>
    </row>
    <row r="4" spans="1:3" x14ac:dyDescent="0.3">
      <c r="A4">
        <f>A3+200</f>
        <v>800</v>
      </c>
      <c r="B4">
        <v>14.4</v>
      </c>
      <c r="C4">
        <v>18.5</v>
      </c>
    </row>
    <row r="5" spans="1:3" x14ac:dyDescent="0.3">
      <c r="A5">
        <f t="shared" ref="A5:A9" si="0">A4+200</f>
        <v>1000</v>
      </c>
      <c r="B5">
        <v>16.7</v>
      </c>
      <c r="C5">
        <v>22.1</v>
      </c>
    </row>
    <row r="6" spans="1:3" x14ac:dyDescent="0.3">
      <c r="A6">
        <f t="shared" si="0"/>
        <v>1200</v>
      </c>
      <c r="B6">
        <v>19.3</v>
      </c>
      <c r="C6">
        <v>26</v>
      </c>
    </row>
    <row r="7" spans="1:3" x14ac:dyDescent="0.3">
      <c r="A7">
        <f t="shared" si="0"/>
        <v>1400</v>
      </c>
      <c r="B7">
        <v>20.5</v>
      </c>
      <c r="C7">
        <v>27.8</v>
      </c>
    </row>
    <row r="8" spans="1:3" x14ac:dyDescent="0.3">
      <c r="A8">
        <f t="shared" si="0"/>
        <v>1600</v>
      </c>
      <c r="B8">
        <v>22.6</v>
      </c>
      <c r="C8">
        <v>30.7</v>
      </c>
    </row>
    <row r="9" spans="1:3" x14ac:dyDescent="0.3">
      <c r="A9">
        <f t="shared" si="0"/>
        <v>1800</v>
      </c>
      <c r="B9">
        <v>27.7</v>
      </c>
      <c r="C9">
        <v>35.6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topLeftCell="A71" workbookViewId="0">
      <selection activeCell="F86" sqref="F86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61" t="s">
        <v>94</v>
      </c>
      <c r="B2">
        <v>15</v>
      </c>
      <c r="C2">
        <v>16.22</v>
      </c>
    </row>
    <row r="3" spans="1:3" x14ac:dyDescent="0.3">
      <c r="A3" s="61"/>
      <c r="B3">
        <v>16</v>
      </c>
      <c r="C3">
        <v>15.85</v>
      </c>
    </row>
    <row r="4" spans="1:3" x14ac:dyDescent="0.3">
      <c r="A4" s="61"/>
      <c r="B4">
        <v>17</v>
      </c>
      <c r="C4">
        <v>15.34</v>
      </c>
    </row>
    <row r="5" spans="1:3" x14ac:dyDescent="0.3">
      <c r="A5" s="61"/>
      <c r="B5">
        <v>18</v>
      </c>
      <c r="C5">
        <v>15.12</v>
      </c>
    </row>
    <row r="6" spans="1:3" x14ac:dyDescent="0.3">
      <c r="A6" s="61"/>
      <c r="B6">
        <v>19</v>
      </c>
      <c r="C6">
        <v>14.9</v>
      </c>
    </row>
    <row r="7" spans="1:3" x14ac:dyDescent="0.3">
      <c r="A7" s="61"/>
      <c r="B7">
        <v>20</v>
      </c>
      <c r="C7">
        <v>14.58</v>
      </c>
    </row>
    <row r="8" spans="1:3" x14ac:dyDescent="0.3">
      <c r="A8" s="61"/>
      <c r="B8">
        <v>21</v>
      </c>
      <c r="C8">
        <v>14.04</v>
      </c>
    </row>
    <row r="9" spans="1:3" x14ac:dyDescent="0.3">
      <c r="A9" s="61"/>
      <c r="B9">
        <v>22</v>
      </c>
      <c r="C9">
        <v>14.82</v>
      </c>
    </row>
    <row r="10" spans="1:3" x14ac:dyDescent="0.3">
      <c r="A10" s="61"/>
      <c r="B10">
        <v>23</v>
      </c>
      <c r="C10">
        <v>15.28</v>
      </c>
    </row>
    <row r="11" spans="1:3" x14ac:dyDescent="0.3">
      <c r="A11" s="61"/>
      <c r="B11">
        <v>24</v>
      </c>
      <c r="C11">
        <v>15.74</v>
      </c>
    </row>
    <row r="12" spans="1:3" x14ac:dyDescent="0.3">
      <c r="A12" s="61"/>
      <c r="B12">
        <v>25</v>
      </c>
      <c r="C12">
        <v>16.18</v>
      </c>
    </row>
    <row r="13" spans="1:3" x14ac:dyDescent="0.3">
      <c r="A13" s="61" t="s">
        <v>0</v>
      </c>
      <c r="B13">
        <v>15</v>
      </c>
      <c r="C13">
        <v>18.5</v>
      </c>
    </row>
    <row r="14" spans="1:3" x14ac:dyDescent="0.3">
      <c r="A14" s="61"/>
      <c r="B14">
        <v>16</v>
      </c>
      <c r="C14">
        <v>17.96</v>
      </c>
    </row>
    <row r="15" spans="1:3" x14ac:dyDescent="0.3">
      <c r="A15" s="61"/>
      <c r="B15">
        <v>17</v>
      </c>
      <c r="C15">
        <v>17.11</v>
      </c>
    </row>
    <row r="16" spans="1:3" x14ac:dyDescent="0.3">
      <c r="A16" s="61"/>
      <c r="B16">
        <v>18</v>
      </c>
      <c r="C16">
        <v>16.5</v>
      </c>
    </row>
    <row r="17" spans="1:3" x14ac:dyDescent="0.3">
      <c r="A17" s="61"/>
      <c r="B17">
        <v>19</v>
      </c>
      <c r="C17">
        <v>15.8</v>
      </c>
    </row>
    <row r="18" spans="1:3" x14ac:dyDescent="0.3">
      <c r="A18" s="61"/>
      <c r="B18">
        <v>20</v>
      </c>
      <c r="C18">
        <v>15.42</v>
      </c>
    </row>
    <row r="19" spans="1:3" x14ac:dyDescent="0.3">
      <c r="A19" s="61"/>
      <c r="B19">
        <v>21</v>
      </c>
      <c r="C19">
        <v>14.91</v>
      </c>
    </row>
    <row r="20" spans="1:3" x14ac:dyDescent="0.3">
      <c r="A20" s="61"/>
      <c r="B20">
        <v>22</v>
      </c>
      <c r="C20">
        <v>15.34</v>
      </c>
    </row>
    <row r="21" spans="1:3" x14ac:dyDescent="0.3">
      <c r="A21" s="61"/>
      <c r="B21">
        <v>23</v>
      </c>
      <c r="C21">
        <v>15.93</v>
      </c>
    </row>
    <row r="22" spans="1:3" x14ac:dyDescent="0.3">
      <c r="A22" s="61"/>
      <c r="B22">
        <v>24</v>
      </c>
      <c r="C22">
        <v>16.48</v>
      </c>
    </row>
    <row r="23" spans="1:3" x14ac:dyDescent="0.3">
      <c r="A23" s="61"/>
      <c r="B23">
        <v>25</v>
      </c>
      <c r="C23">
        <v>17.02</v>
      </c>
    </row>
    <row r="24" spans="1:3" x14ac:dyDescent="0.3">
      <c r="A24" s="61" t="s">
        <v>6</v>
      </c>
      <c r="B24">
        <v>15</v>
      </c>
      <c r="C24">
        <v>23.16</v>
      </c>
    </row>
    <row r="25" spans="1:3" x14ac:dyDescent="0.3">
      <c r="A25" s="61"/>
      <c r="B25">
        <v>16</v>
      </c>
      <c r="C25">
        <v>22.85</v>
      </c>
    </row>
    <row r="26" spans="1:3" x14ac:dyDescent="0.3">
      <c r="A26" s="61"/>
      <c r="B26">
        <v>17</v>
      </c>
      <c r="C26">
        <v>22.66</v>
      </c>
    </row>
    <row r="27" spans="1:3" x14ac:dyDescent="0.3">
      <c r="A27" s="61"/>
      <c r="B27">
        <v>18</v>
      </c>
      <c r="C27">
        <v>22.43</v>
      </c>
    </row>
    <row r="28" spans="1:3" x14ac:dyDescent="0.3">
      <c r="A28" s="61"/>
      <c r="B28">
        <v>19</v>
      </c>
      <c r="C28">
        <v>22.08</v>
      </c>
    </row>
    <row r="29" spans="1:3" x14ac:dyDescent="0.3">
      <c r="A29" s="61"/>
      <c r="B29">
        <v>20</v>
      </c>
      <c r="C29">
        <v>21.39</v>
      </c>
    </row>
    <row r="30" spans="1:3" x14ac:dyDescent="0.3">
      <c r="A30" s="61"/>
      <c r="B30">
        <v>21</v>
      </c>
      <c r="C30">
        <v>21.53</v>
      </c>
    </row>
    <row r="31" spans="1:3" x14ac:dyDescent="0.3">
      <c r="A31" s="61"/>
      <c r="B31">
        <v>22</v>
      </c>
      <c r="C31">
        <v>21.83</v>
      </c>
    </row>
    <row r="32" spans="1:3" x14ac:dyDescent="0.3">
      <c r="A32" s="61"/>
      <c r="B32">
        <v>23</v>
      </c>
      <c r="C32">
        <v>21.91</v>
      </c>
    </row>
    <row r="33" spans="1:3" x14ac:dyDescent="0.3">
      <c r="A33" s="61"/>
      <c r="B33">
        <v>24</v>
      </c>
      <c r="C33">
        <v>22.32</v>
      </c>
    </row>
    <row r="34" spans="1:3" x14ac:dyDescent="0.3">
      <c r="A34" s="61"/>
      <c r="B34">
        <v>25</v>
      </c>
      <c r="C34">
        <v>22.75</v>
      </c>
    </row>
    <row r="35" spans="1:3" x14ac:dyDescent="0.3">
      <c r="A35" s="61" t="s">
        <v>96</v>
      </c>
      <c r="B35">
        <v>15</v>
      </c>
      <c r="C35">
        <v>19.45</v>
      </c>
    </row>
    <row r="36" spans="1:3" x14ac:dyDescent="0.3">
      <c r="A36" s="61"/>
      <c r="B36">
        <v>16</v>
      </c>
      <c r="C36">
        <v>18.95</v>
      </c>
    </row>
    <row r="37" spans="1:3" x14ac:dyDescent="0.3">
      <c r="A37" s="61"/>
      <c r="B37">
        <v>17</v>
      </c>
      <c r="C37">
        <v>18.52</v>
      </c>
    </row>
    <row r="38" spans="1:3" x14ac:dyDescent="0.3">
      <c r="A38" s="61"/>
      <c r="B38">
        <v>18</v>
      </c>
      <c r="C38">
        <v>17.260000000000002</v>
      </c>
    </row>
    <row r="39" spans="1:3" x14ac:dyDescent="0.3">
      <c r="A39" s="61"/>
      <c r="B39">
        <v>19</v>
      </c>
      <c r="C39">
        <v>16.59</v>
      </c>
    </row>
    <row r="40" spans="1:3" x14ac:dyDescent="0.3">
      <c r="A40" s="61"/>
      <c r="B40">
        <v>20</v>
      </c>
      <c r="C40">
        <v>15.23</v>
      </c>
    </row>
    <row r="41" spans="1:3" x14ac:dyDescent="0.3">
      <c r="A41" s="61"/>
      <c r="B41">
        <v>21</v>
      </c>
      <c r="C41">
        <v>14.52</v>
      </c>
    </row>
    <row r="42" spans="1:3" x14ac:dyDescent="0.3">
      <c r="A42" s="61"/>
      <c r="B42">
        <v>22</v>
      </c>
      <c r="C42">
        <v>14.89</v>
      </c>
    </row>
    <row r="43" spans="1:3" x14ac:dyDescent="0.3">
      <c r="A43" s="61"/>
      <c r="B43">
        <v>23</v>
      </c>
      <c r="C43">
        <v>15.56</v>
      </c>
    </row>
    <row r="44" spans="1:3" x14ac:dyDescent="0.3">
      <c r="A44" s="61"/>
      <c r="B44">
        <v>24</v>
      </c>
      <c r="C44">
        <v>15.97</v>
      </c>
    </row>
    <row r="45" spans="1:3" x14ac:dyDescent="0.3">
      <c r="A45" s="61"/>
      <c r="B45">
        <v>25</v>
      </c>
      <c r="C45">
        <v>16.86</v>
      </c>
    </row>
    <row r="46" spans="1:3" x14ac:dyDescent="0.3">
      <c r="A46" s="61" t="s">
        <v>1</v>
      </c>
      <c r="B46">
        <v>15</v>
      </c>
      <c r="C46">
        <v>20.49</v>
      </c>
    </row>
    <row r="47" spans="1:3" x14ac:dyDescent="0.3">
      <c r="A47" s="61"/>
      <c r="B47">
        <v>16</v>
      </c>
      <c r="C47">
        <v>19.57</v>
      </c>
    </row>
    <row r="48" spans="1:3" x14ac:dyDescent="0.3">
      <c r="A48" s="61"/>
      <c r="B48">
        <v>17</v>
      </c>
      <c r="C48">
        <v>18.52</v>
      </c>
    </row>
    <row r="49" spans="1:3" x14ac:dyDescent="0.3">
      <c r="A49" s="61"/>
      <c r="B49">
        <v>18</v>
      </c>
      <c r="C49">
        <v>17.52</v>
      </c>
    </row>
    <row r="50" spans="1:3" x14ac:dyDescent="0.3">
      <c r="A50" s="61"/>
      <c r="B50">
        <v>19</v>
      </c>
      <c r="C50">
        <v>16.59</v>
      </c>
    </row>
    <row r="51" spans="1:3" x14ac:dyDescent="0.3">
      <c r="A51" s="61"/>
      <c r="B51">
        <v>20</v>
      </c>
      <c r="C51">
        <v>15</v>
      </c>
    </row>
    <row r="52" spans="1:3" x14ac:dyDescent="0.3">
      <c r="A52" s="61"/>
      <c r="B52">
        <v>21</v>
      </c>
      <c r="C52">
        <v>14.52</v>
      </c>
    </row>
    <row r="53" spans="1:3" x14ac:dyDescent="0.3">
      <c r="A53" s="61"/>
      <c r="B53">
        <v>22</v>
      </c>
      <c r="C53">
        <v>14.24</v>
      </c>
    </row>
    <row r="54" spans="1:3" x14ac:dyDescent="0.3">
      <c r="A54" s="61"/>
      <c r="B54">
        <v>23</v>
      </c>
      <c r="C54">
        <v>14.22</v>
      </c>
    </row>
    <row r="55" spans="1:3" x14ac:dyDescent="0.3">
      <c r="A55" s="61"/>
      <c r="B55">
        <v>24</v>
      </c>
      <c r="C55">
        <v>14.45</v>
      </c>
    </row>
    <row r="56" spans="1:3" x14ac:dyDescent="0.3">
      <c r="A56" s="61"/>
      <c r="B56">
        <v>25</v>
      </c>
      <c r="C56">
        <v>15</v>
      </c>
    </row>
    <row r="57" spans="1:3" x14ac:dyDescent="0.3">
      <c r="A57" s="61" t="s">
        <v>2</v>
      </c>
      <c r="B57">
        <v>15</v>
      </c>
      <c r="C57">
        <v>25.36</v>
      </c>
    </row>
    <row r="58" spans="1:3" x14ac:dyDescent="0.3">
      <c r="A58" s="61"/>
      <c r="B58">
        <v>16</v>
      </c>
      <c r="C58">
        <v>25.19</v>
      </c>
    </row>
    <row r="59" spans="1:3" x14ac:dyDescent="0.3">
      <c r="A59" s="61"/>
      <c r="B59">
        <v>17</v>
      </c>
      <c r="C59">
        <v>24.9</v>
      </c>
    </row>
    <row r="60" spans="1:3" x14ac:dyDescent="0.3">
      <c r="A60" s="61"/>
      <c r="B60">
        <v>18</v>
      </c>
      <c r="C60">
        <v>23.97</v>
      </c>
    </row>
    <row r="61" spans="1:3" x14ac:dyDescent="0.3">
      <c r="A61" s="61"/>
      <c r="B61">
        <v>19</v>
      </c>
      <c r="C61">
        <v>23.88</v>
      </c>
    </row>
    <row r="62" spans="1:3" x14ac:dyDescent="0.3">
      <c r="A62" s="61"/>
      <c r="B62">
        <v>20</v>
      </c>
      <c r="C62">
        <v>23.73</v>
      </c>
    </row>
    <row r="63" spans="1:3" x14ac:dyDescent="0.3">
      <c r="A63" s="61"/>
      <c r="B63">
        <v>21</v>
      </c>
      <c r="C63">
        <v>23.4</v>
      </c>
    </row>
    <row r="64" spans="1:3" x14ac:dyDescent="0.3">
      <c r="A64" s="61"/>
      <c r="B64">
        <v>22</v>
      </c>
      <c r="C64">
        <v>23.51</v>
      </c>
    </row>
    <row r="65" spans="1:3" x14ac:dyDescent="0.3">
      <c r="A65" s="61"/>
      <c r="B65">
        <v>23</v>
      </c>
      <c r="C65">
        <v>23.62</v>
      </c>
    </row>
    <row r="66" spans="1:3" x14ac:dyDescent="0.3">
      <c r="A66" s="61"/>
      <c r="B66">
        <v>24</v>
      </c>
      <c r="C66">
        <v>23.73</v>
      </c>
    </row>
    <row r="67" spans="1:3" x14ac:dyDescent="0.3">
      <c r="A67" s="61"/>
      <c r="B67">
        <v>25</v>
      </c>
      <c r="C67">
        <v>23.87</v>
      </c>
    </row>
    <row r="68" spans="1:3" x14ac:dyDescent="0.3">
      <c r="A68" s="61" t="s">
        <v>118</v>
      </c>
      <c r="B68">
        <v>15</v>
      </c>
    </row>
    <row r="69" spans="1:3" x14ac:dyDescent="0.3">
      <c r="A69" s="61"/>
      <c r="B69">
        <v>16</v>
      </c>
    </row>
    <row r="70" spans="1:3" x14ac:dyDescent="0.3">
      <c r="A70" s="61"/>
      <c r="B70">
        <v>17</v>
      </c>
    </row>
    <row r="71" spans="1:3" x14ac:dyDescent="0.3">
      <c r="A71" s="61"/>
      <c r="B71">
        <v>18</v>
      </c>
    </row>
    <row r="72" spans="1:3" x14ac:dyDescent="0.3">
      <c r="A72" s="61"/>
      <c r="B72">
        <v>19</v>
      </c>
    </row>
    <row r="73" spans="1:3" x14ac:dyDescent="0.3">
      <c r="A73" s="61"/>
      <c r="B73">
        <v>20</v>
      </c>
    </row>
    <row r="74" spans="1:3" x14ac:dyDescent="0.3">
      <c r="A74" s="61"/>
      <c r="B74">
        <v>21</v>
      </c>
    </row>
    <row r="75" spans="1:3" x14ac:dyDescent="0.3">
      <c r="A75" s="61"/>
      <c r="B75">
        <v>22</v>
      </c>
    </row>
    <row r="76" spans="1:3" x14ac:dyDescent="0.3">
      <c r="A76" s="61"/>
      <c r="B76">
        <v>23</v>
      </c>
    </row>
    <row r="77" spans="1:3" x14ac:dyDescent="0.3">
      <c r="A77" s="61"/>
      <c r="B77">
        <v>24</v>
      </c>
    </row>
    <row r="78" spans="1:3" x14ac:dyDescent="0.3">
      <c r="A78" s="61"/>
      <c r="B78">
        <v>25</v>
      </c>
      <c r="C78">
        <v>23.35</v>
      </c>
    </row>
    <row r="79" spans="1:3" x14ac:dyDescent="0.3">
      <c r="A79" s="61" t="s">
        <v>119</v>
      </c>
      <c r="B79">
        <v>15</v>
      </c>
    </row>
    <row r="80" spans="1:3" x14ac:dyDescent="0.3">
      <c r="A80" s="61"/>
      <c r="B80">
        <v>16</v>
      </c>
    </row>
    <row r="81" spans="1:3" x14ac:dyDescent="0.3">
      <c r="A81" s="61"/>
      <c r="B81">
        <v>17</v>
      </c>
    </row>
    <row r="82" spans="1:3" x14ac:dyDescent="0.3">
      <c r="A82" s="61"/>
      <c r="B82">
        <v>18</v>
      </c>
    </row>
    <row r="83" spans="1:3" x14ac:dyDescent="0.3">
      <c r="A83" s="61"/>
      <c r="B83">
        <v>19</v>
      </c>
    </row>
    <row r="84" spans="1:3" x14ac:dyDescent="0.3">
      <c r="A84" s="61"/>
      <c r="B84">
        <v>20</v>
      </c>
    </row>
    <row r="85" spans="1:3" x14ac:dyDescent="0.3">
      <c r="A85" s="61"/>
      <c r="B85">
        <v>21</v>
      </c>
    </row>
    <row r="86" spans="1:3" x14ac:dyDescent="0.3">
      <c r="A86" s="61"/>
      <c r="B86">
        <v>22</v>
      </c>
    </row>
    <row r="87" spans="1:3" x14ac:dyDescent="0.3">
      <c r="A87" s="61"/>
      <c r="B87">
        <v>23</v>
      </c>
    </row>
    <row r="88" spans="1:3" x14ac:dyDescent="0.3">
      <c r="A88" s="61"/>
      <c r="B88">
        <v>24</v>
      </c>
    </row>
    <row r="89" spans="1:3" x14ac:dyDescent="0.3">
      <c r="A89" s="61"/>
      <c r="B89">
        <v>25</v>
      </c>
      <c r="C89">
        <v>23.22</v>
      </c>
    </row>
    <row r="90" spans="1:3" x14ac:dyDescent="0.3">
      <c r="A90" s="61" t="s">
        <v>4</v>
      </c>
      <c r="B90">
        <v>15</v>
      </c>
    </row>
    <row r="91" spans="1:3" x14ac:dyDescent="0.3">
      <c r="A91" s="61"/>
      <c r="B91">
        <v>16</v>
      </c>
    </row>
    <row r="92" spans="1:3" x14ac:dyDescent="0.3">
      <c r="A92" s="61"/>
      <c r="B92">
        <v>17</v>
      </c>
    </row>
    <row r="93" spans="1:3" x14ac:dyDescent="0.3">
      <c r="A93" s="61"/>
      <c r="B93">
        <v>18</v>
      </c>
    </row>
    <row r="94" spans="1:3" x14ac:dyDescent="0.3">
      <c r="A94" s="61"/>
      <c r="B94">
        <v>19</v>
      </c>
    </row>
    <row r="95" spans="1:3" x14ac:dyDescent="0.3">
      <c r="A95" s="61"/>
      <c r="B95">
        <v>20</v>
      </c>
    </row>
    <row r="96" spans="1:3" x14ac:dyDescent="0.3">
      <c r="A96" s="61"/>
      <c r="B96">
        <v>21</v>
      </c>
    </row>
    <row r="97" spans="1:2" x14ac:dyDescent="0.3">
      <c r="A97" s="61"/>
      <c r="B97">
        <v>22</v>
      </c>
    </row>
    <row r="98" spans="1:2" x14ac:dyDescent="0.3">
      <c r="A98" s="61"/>
      <c r="B98">
        <v>23</v>
      </c>
    </row>
    <row r="99" spans="1:2" x14ac:dyDescent="0.3">
      <c r="A99" s="61"/>
      <c r="B99">
        <v>24</v>
      </c>
    </row>
    <row r="100" spans="1:2" x14ac:dyDescent="0.3">
      <c r="A100" s="61"/>
      <c r="B100">
        <v>25</v>
      </c>
    </row>
  </sheetData>
  <mergeCells count="9">
    <mergeCell ref="A68:A78"/>
    <mergeCell ref="A79:A89"/>
    <mergeCell ref="A90:A100"/>
    <mergeCell ref="A2:A12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E6:I14"/>
  <sheetViews>
    <sheetView topLeftCell="B1" workbookViewId="0">
      <selection activeCell="E6" sqref="E6:I14"/>
    </sheetView>
  </sheetViews>
  <sheetFormatPr defaultRowHeight="14.4" x14ac:dyDescent="0.3"/>
  <sheetData>
    <row r="6" spans="5:9" x14ac:dyDescent="0.3">
      <c r="E6">
        <v>0.01</v>
      </c>
      <c r="F6">
        <v>8.43E-3</v>
      </c>
      <c r="G6">
        <v>8.2000000000000007E-3</v>
      </c>
      <c r="H6">
        <v>1.3639999999999999E-2</v>
      </c>
      <c r="I6">
        <v>5.0000000000000001E-3</v>
      </c>
    </row>
    <row r="7" spans="5:9" x14ac:dyDescent="0.3">
      <c r="E7">
        <v>1.0999999999999999E-2</v>
      </c>
      <c r="F7">
        <v>8.3700000000000007E-3</v>
      </c>
      <c r="G7">
        <v>8.2100000000000003E-3</v>
      </c>
      <c r="H7">
        <v>1.073E-2</v>
      </c>
      <c r="I7">
        <v>4.0000000000000001E-3</v>
      </c>
    </row>
    <row r="8" spans="5:9" x14ac:dyDescent="0.3">
      <c r="E8">
        <v>1.2E-2</v>
      </c>
      <c r="F8">
        <v>8.3199999999999993E-3</v>
      </c>
      <c r="G8">
        <v>8.2299999999999995E-3</v>
      </c>
      <c r="H8">
        <v>9.92E-3</v>
      </c>
      <c r="I8">
        <v>4.0000000000000001E-3</v>
      </c>
    </row>
    <row r="9" spans="5:9" x14ac:dyDescent="0.3">
      <c r="E9">
        <v>1.2999999999999999E-2</v>
      </c>
      <c r="F9">
        <v>8.2299999999999995E-3</v>
      </c>
      <c r="G9">
        <v>8.2299999999999995E-3</v>
      </c>
      <c r="H9">
        <v>8.9599999999999992E-3</v>
      </c>
      <c r="I9">
        <v>4.0000000000000001E-3</v>
      </c>
    </row>
    <row r="10" spans="5:9" x14ac:dyDescent="0.3">
      <c r="E10">
        <v>1.4E-2</v>
      </c>
      <c r="F10">
        <v>8.1399999999999997E-3</v>
      </c>
      <c r="G10">
        <v>8.2299999999999995E-3</v>
      </c>
      <c r="H10">
        <v>8.1600000000000006E-3</v>
      </c>
      <c r="I10">
        <v>4.0000000000000001E-3</v>
      </c>
    </row>
    <row r="11" spans="5:9" x14ac:dyDescent="0.3">
      <c r="E11">
        <v>1.4999999999999999E-2</v>
      </c>
      <c r="F11">
        <v>8.0400000000000003E-3</v>
      </c>
      <c r="G11">
        <v>8.2199999999999999E-3</v>
      </c>
      <c r="H11">
        <v>7.3600000000000002E-3</v>
      </c>
      <c r="I11">
        <v>4.0000000000000001E-3</v>
      </c>
    </row>
    <row r="12" spans="5:9" x14ac:dyDescent="0.3">
      <c r="E12">
        <v>1.6E-2</v>
      </c>
      <c r="F12">
        <v>7.9500000000000005E-3</v>
      </c>
      <c r="G12">
        <v>8.2100000000000003E-3</v>
      </c>
      <c r="H12">
        <v>6.5300000000000002E-3</v>
      </c>
      <c r="I12">
        <v>4.0000000000000001E-3</v>
      </c>
    </row>
    <row r="13" spans="5:9" x14ac:dyDescent="0.3">
      <c r="E13">
        <v>1.7000000000000001E-2</v>
      </c>
      <c r="F13">
        <v>7.8600000000000007E-3</v>
      </c>
      <c r="G13">
        <v>8.2000000000000007E-3</v>
      </c>
      <c r="H13">
        <v>5.7600000000000004E-3</v>
      </c>
      <c r="I13">
        <v>4.0000000000000001E-3</v>
      </c>
    </row>
    <row r="14" spans="5:9" x14ac:dyDescent="0.3">
      <c r="E14">
        <v>1.7999999999999999E-2</v>
      </c>
      <c r="F14">
        <v>7.7799999999999996E-3</v>
      </c>
      <c r="G14">
        <v>8.0999999999999996E-3</v>
      </c>
      <c r="H14">
        <v>5.0200000000000002E-3</v>
      </c>
      <c r="I14">
        <v>4.0000000000000001E-3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topLeftCell="A91" workbookViewId="0">
      <selection activeCell="E70" sqref="E70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61" t="s">
        <v>94</v>
      </c>
      <c r="B2">
        <v>15</v>
      </c>
      <c r="C2">
        <v>16.22</v>
      </c>
    </row>
    <row r="3" spans="1:3" x14ac:dyDescent="0.3">
      <c r="A3" s="61"/>
      <c r="B3">
        <v>16</v>
      </c>
      <c r="C3">
        <v>15.85</v>
      </c>
    </row>
    <row r="4" spans="1:3" x14ac:dyDescent="0.3">
      <c r="A4" s="61"/>
      <c r="B4">
        <v>17</v>
      </c>
      <c r="C4">
        <v>15.34</v>
      </c>
    </row>
    <row r="5" spans="1:3" x14ac:dyDescent="0.3">
      <c r="A5" s="61"/>
      <c r="B5">
        <v>18</v>
      </c>
      <c r="C5">
        <v>15.12</v>
      </c>
    </row>
    <row r="6" spans="1:3" x14ac:dyDescent="0.3">
      <c r="A6" s="61"/>
      <c r="B6">
        <v>19</v>
      </c>
      <c r="C6">
        <v>14.9</v>
      </c>
    </row>
    <row r="7" spans="1:3" x14ac:dyDescent="0.3">
      <c r="A7" s="61"/>
      <c r="B7">
        <v>20</v>
      </c>
      <c r="C7">
        <v>14.58</v>
      </c>
    </row>
    <row r="8" spans="1:3" x14ac:dyDescent="0.3">
      <c r="A8" s="61"/>
      <c r="B8">
        <v>21</v>
      </c>
      <c r="C8">
        <v>14.04</v>
      </c>
    </row>
    <row r="9" spans="1:3" x14ac:dyDescent="0.3">
      <c r="A9" s="61"/>
      <c r="B9">
        <v>22</v>
      </c>
      <c r="C9">
        <v>14.82</v>
      </c>
    </row>
    <row r="10" spans="1:3" x14ac:dyDescent="0.3">
      <c r="A10" s="61"/>
      <c r="B10">
        <v>23</v>
      </c>
      <c r="C10">
        <v>15.28</v>
      </c>
    </row>
    <row r="11" spans="1:3" x14ac:dyDescent="0.3">
      <c r="A11" s="61"/>
      <c r="B11">
        <v>24</v>
      </c>
      <c r="C11">
        <v>15.74</v>
      </c>
    </row>
    <row r="12" spans="1:3" x14ac:dyDescent="0.3">
      <c r="A12" s="61"/>
      <c r="B12">
        <v>25</v>
      </c>
      <c r="C12">
        <v>16.18</v>
      </c>
    </row>
    <row r="13" spans="1:3" x14ac:dyDescent="0.3">
      <c r="A13" s="61" t="s">
        <v>0</v>
      </c>
      <c r="B13">
        <v>15</v>
      </c>
      <c r="C13">
        <v>18.5</v>
      </c>
    </row>
    <row r="14" spans="1:3" x14ac:dyDescent="0.3">
      <c r="A14" s="61"/>
      <c r="B14">
        <v>16</v>
      </c>
      <c r="C14">
        <v>17.96</v>
      </c>
    </row>
    <row r="15" spans="1:3" x14ac:dyDescent="0.3">
      <c r="A15" s="61"/>
      <c r="B15">
        <v>17</v>
      </c>
      <c r="C15">
        <v>17.11</v>
      </c>
    </row>
    <row r="16" spans="1:3" x14ac:dyDescent="0.3">
      <c r="A16" s="61"/>
      <c r="B16">
        <v>18</v>
      </c>
      <c r="C16">
        <v>16.5</v>
      </c>
    </row>
    <row r="17" spans="1:3" x14ac:dyDescent="0.3">
      <c r="A17" s="61"/>
      <c r="B17">
        <v>19</v>
      </c>
      <c r="C17">
        <v>15.8</v>
      </c>
    </row>
    <row r="18" spans="1:3" x14ac:dyDescent="0.3">
      <c r="A18" s="61"/>
      <c r="B18">
        <v>20</v>
      </c>
      <c r="C18">
        <v>15.42</v>
      </c>
    </row>
    <row r="19" spans="1:3" x14ac:dyDescent="0.3">
      <c r="A19" s="61"/>
      <c r="B19">
        <v>21</v>
      </c>
      <c r="C19">
        <v>14.91</v>
      </c>
    </row>
    <row r="20" spans="1:3" x14ac:dyDescent="0.3">
      <c r="A20" s="61"/>
      <c r="B20">
        <v>22</v>
      </c>
      <c r="C20">
        <v>15.34</v>
      </c>
    </row>
    <row r="21" spans="1:3" x14ac:dyDescent="0.3">
      <c r="A21" s="61"/>
      <c r="B21">
        <v>23</v>
      </c>
      <c r="C21">
        <v>15.93</v>
      </c>
    </row>
    <row r="22" spans="1:3" x14ac:dyDescent="0.3">
      <c r="A22" s="61"/>
      <c r="B22">
        <v>24</v>
      </c>
      <c r="C22">
        <v>16.48</v>
      </c>
    </row>
    <row r="23" spans="1:3" x14ac:dyDescent="0.3">
      <c r="A23" s="61"/>
      <c r="B23">
        <v>25</v>
      </c>
      <c r="C23">
        <v>17.02</v>
      </c>
    </row>
    <row r="24" spans="1:3" x14ac:dyDescent="0.3">
      <c r="A24" s="61" t="s">
        <v>6</v>
      </c>
      <c r="B24">
        <v>15</v>
      </c>
      <c r="C24">
        <v>23.16</v>
      </c>
    </row>
    <row r="25" spans="1:3" x14ac:dyDescent="0.3">
      <c r="A25" s="61"/>
      <c r="B25">
        <v>16</v>
      </c>
      <c r="C25">
        <v>22.85</v>
      </c>
    </row>
    <row r="26" spans="1:3" x14ac:dyDescent="0.3">
      <c r="A26" s="61"/>
      <c r="B26">
        <v>17</v>
      </c>
      <c r="C26">
        <v>22.66</v>
      </c>
    </row>
    <row r="27" spans="1:3" x14ac:dyDescent="0.3">
      <c r="A27" s="61"/>
      <c r="B27">
        <v>18</v>
      </c>
      <c r="C27">
        <v>22.43</v>
      </c>
    </row>
    <row r="28" spans="1:3" x14ac:dyDescent="0.3">
      <c r="A28" s="61"/>
      <c r="B28">
        <v>19</v>
      </c>
      <c r="C28">
        <v>22.08</v>
      </c>
    </row>
    <row r="29" spans="1:3" x14ac:dyDescent="0.3">
      <c r="A29" s="61"/>
      <c r="B29">
        <v>20</v>
      </c>
      <c r="C29">
        <v>21.39</v>
      </c>
    </row>
    <row r="30" spans="1:3" x14ac:dyDescent="0.3">
      <c r="A30" s="61"/>
      <c r="B30">
        <v>21</v>
      </c>
      <c r="C30">
        <v>21.53</v>
      </c>
    </row>
    <row r="31" spans="1:3" x14ac:dyDescent="0.3">
      <c r="A31" s="61"/>
      <c r="B31">
        <v>22</v>
      </c>
      <c r="C31">
        <v>21.83</v>
      </c>
    </row>
    <row r="32" spans="1:3" x14ac:dyDescent="0.3">
      <c r="A32" s="61"/>
      <c r="B32">
        <v>23</v>
      </c>
      <c r="C32">
        <v>21.91</v>
      </c>
    </row>
    <row r="33" spans="1:3" x14ac:dyDescent="0.3">
      <c r="A33" s="61"/>
      <c r="B33">
        <v>24</v>
      </c>
      <c r="C33">
        <v>22.32</v>
      </c>
    </row>
    <row r="34" spans="1:3" x14ac:dyDescent="0.3">
      <c r="A34" s="61"/>
      <c r="B34">
        <v>25</v>
      </c>
      <c r="C34">
        <v>22.75</v>
      </c>
    </row>
    <row r="35" spans="1:3" x14ac:dyDescent="0.3">
      <c r="A35" s="61" t="s">
        <v>96</v>
      </c>
      <c r="B35">
        <v>15</v>
      </c>
      <c r="C35">
        <v>19.45</v>
      </c>
    </row>
    <row r="36" spans="1:3" x14ac:dyDescent="0.3">
      <c r="A36" s="61"/>
      <c r="B36">
        <v>16</v>
      </c>
      <c r="C36">
        <v>18.95</v>
      </c>
    </row>
    <row r="37" spans="1:3" x14ac:dyDescent="0.3">
      <c r="A37" s="61"/>
      <c r="B37">
        <v>17</v>
      </c>
      <c r="C37">
        <v>18.52</v>
      </c>
    </row>
    <row r="38" spans="1:3" x14ac:dyDescent="0.3">
      <c r="A38" s="61"/>
      <c r="B38">
        <v>18</v>
      </c>
      <c r="C38">
        <v>17.260000000000002</v>
      </c>
    </row>
    <row r="39" spans="1:3" x14ac:dyDescent="0.3">
      <c r="A39" s="61"/>
      <c r="B39">
        <v>19</v>
      </c>
      <c r="C39">
        <v>16.59</v>
      </c>
    </row>
    <row r="40" spans="1:3" x14ac:dyDescent="0.3">
      <c r="A40" s="61"/>
      <c r="B40">
        <v>20</v>
      </c>
      <c r="C40">
        <v>15.23</v>
      </c>
    </row>
    <row r="41" spans="1:3" x14ac:dyDescent="0.3">
      <c r="A41" s="61"/>
      <c r="B41">
        <v>21</v>
      </c>
      <c r="C41">
        <v>14.52</v>
      </c>
    </row>
    <row r="42" spans="1:3" x14ac:dyDescent="0.3">
      <c r="A42" s="61"/>
      <c r="B42">
        <v>22</v>
      </c>
      <c r="C42">
        <v>14.89</v>
      </c>
    </row>
    <row r="43" spans="1:3" x14ac:dyDescent="0.3">
      <c r="A43" s="61"/>
      <c r="B43">
        <v>23</v>
      </c>
      <c r="C43">
        <v>15.56</v>
      </c>
    </row>
    <row r="44" spans="1:3" x14ac:dyDescent="0.3">
      <c r="A44" s="61"/>
      <c r="B44">
        <v>24</v>
      </c>
      <c r="C44">
        <v>15.97</v>
      </c>
    </row>
    <row r="45" spans="1:3" x14ac:dyDescent="0.3">
      <c r="A45" s="61"/>
      <c r="B45">
        <v>25</v>
      </c>
      <c r="C45">
        <v>16.86</v>
      </c>
    </row>
    <row r="46" spans="1:3" x14ac:dyDescent="0.3">
      <c r="A46" s="61" t="s">
        <v>1</v>
      </c>
      <c r="B46">
        <v>15</v>
      </c>
      <c r="C46">
        <v>20.49</v>
      </c>
    </row>
    <row r="47" spans="1:3" x14ac:dyDescent="0.3">
      <c r="A47" s="61"/>
      <c r="B47">
        <v>16</v>
      </c>
      <c r="C47">
        <v>19.57</v>
      </c>
    </row>
    <row r="48" spans="1:3" x14ac:dyDescent="0.3">
      <c r="A48" s="61"/>
      <c r="B48">
        <v>17</v>
      </c>
      <c r="C48">
        <v>18.52</v>
      </c>
    </row>
    <row r="49" spans="1:3" x14ac:dyDescent="0.3">
      <c r="A49" s="61"/>
      <c r="B49">
        <v>18</v>
      </c>
      <c r="C49">
        <v>17.52</v>
      </c>
    </row>
    <row r="50" spans="1:3" x14ac:dyDescent="0.3">
      <c r="A50" s="61"/>
      <c r="B50">
        <v>19</v>
      </c>
      <c r="C50">
        <v>16.59</v>
      </c>
    </row>
    <row r="51" spans="1:3" x14ac:dyDescent="0.3">
      <c r="A51" s="61"/>
      <c r="B51">
        <v>20</v>
      </c>
      <c r="C51">
        <v>15</v>
      </c>
    </row>
    <row r="52" spans="1:3" x14ac:dyDescent="0.3">
      <c r="A52" s="61"/>
      <c r="B52">
        <v>21</v>
      </c>
      <c r="C52">
        <v>14.52</v>
      </c>
    </row>
    <row r="53" spans="1:3" x14ac:dyDescent="0.3">
      <c r="A53" s="61"/>
      <c r="B53">
        <v>22</v>
      </c>
      <c r="C53">
        <v>14.24</v>
      </c>
    </row>
    <row r="54" spans="1:3" x14ac:dyDescent="0.3">
      <c r="A54" s="61"/>
      <c r="B54">
        <v>23</v>
      </c>
      <c r="C54">
        <v>14.22</v>
      </c>
    </row>
    <row r="55" spans="1:3" x14ac:dyDescent="0.3">
      <c r="A55" s="61"/>
      <c r="B55">
        <v>24</v>
      </c>
      <c r="C55">
        <v>14.45</v>
      </c>
    </row>
    <row r="56" spans="1:3" x14ac:dyDescent="0.3">
      <c r="A56" s="61"/>
      <c r="B56">
        <v>25</v>
      </c>
      <c r="C56">
        <v>15</v>
      </c>
    </row>
    <row r="57" spans="1:3" x14ac:dyDescent="0.3">
      <c r="A57" s="61" t="s">
        <v>2</v>
      </c>
      <c r="B57">
        <v>15</v>
      </c>
      <c r="C57">
        <v>25.36</v>
      </c>
    </row>
    <row r="58" spans="1:3" x14ac:dyDescent="0.3">
      <c r="A58" s="61"/>
      <c r="B58">
        <v>16</v>
      </c>
      <c r="C58">
        <v>25.19</v>
      </c>
    </row>
    <row r="59" spans="1:3" x14ac:dyDescent="0.3">
      <c r="A59" s="61"/>
      <c r="B59">
        <v>17</v>
      </c>
      <c r="C59">
        <v>24.9</v>
      </c>
    </row>
    <row r="60" spans="1:3" x14ac:dyDescent="0.3">
      <c r="A60" s="61"/>
      <c r="B60">
        <v>18</v>
      </c>
      <c r="C60">
        <v>23.97</v>
      </c>
    </row>
    <row r="61" spans="1:3" x14ac:dyDescent="0.3">
      <c r="A61" s="61"/>
      <c r="B61">
        <v>19</v>
      </c>
      <c r="C61">
        <v>23.88</v>
      </c>
    </row>
    <row r="62" spans="1:3" x14ac:dyDescent="0.3">
      <c r="A62" s="61"/>
      <c r="B62">
        <v>20</v>
      </c>
      <c r="C62">
        <v>23.73</v>
      </c>
    </row>
    <row r="63" spans="1:3" x14ac:dyDescent="0.3">
      <c r="A63" s="61"/>
      <c r="B63">
        <v>21</v>
      </c>
      <c r="C63">
        <v>23.4</v>
      </c>
    </row>
    <row r="64" spans="1:3" x14ac:dyDescent="0.3">
      <c r="A64" s="61"/>
      <c r="B64">
        <v>22</v>
      </c>
      <c r="C64">
        <v>23.51</v>
      </c>
    </row>
    <row r="65" spans="1:3" x14ac:dyDescent="0.3">
      <c r="A65" s="61"/>
      <c r="B65">
        <v>23</v>
      </c>
      <c r="C65">
        <v>23.62</v>
      </c>
    </row>
    <row r="66" spans="1:3" x14ac:dyDescent="0.3">
      <c r="A66" s="61"/>
      <c r="B66">
        <v>24</v>
      </c>
      <c r="C66">
        <v>23.73</v>
      </c>
    </row>
    <row r="67" spans="1:3" x14ac:dyDescent="0.3">
      <c r="A67" s="61"/>
      <c r="B67">
        <v>25</v>
      </c>
      <c r="C67">
        <v>23.87</v>
      </c>
    </row>
    <row r="68" spans="1:3" x14ac:dyDescent="0.3">
      <c r="A68" s="61" t="s">
        <v>97</v>
      </c>
      <c r="B68">
        <v>15</v>
      </c>
      <c r="C68">
        <v>18.54</v>
      </c>
    </row>
    <row r="69" spans="1:3" x14ac:dyDescent="0.3">
      <c r="A69" s="61"/>
      <c r="B69">
        <v>16</v>
      </c>
      <c r="C69">
        <v>17.98</v>
      </c>
    </row>
    <row r="70" spans="1:3" x14ac:dyDescent="0.3">
      <c r="A70" s="61"/>
      <c r="B70">
        <v>17</v>
      </c>
      <c r="C70">
        <v>17.649999999999999</v>
      </c>
    </row>
    <row r="71" spans="1:3" x14ac:dyDescent="0.3">
      <c r="A71" s="61"/>
      <c r="B71">
        <v>18</v>
      </c>
      <c r="C71">
        <v>17.13</v>
      </c>
    </row>
    <row r="72" spans="1:3" x14ac:dyDescent="0.3">
      <c r="A72" s="61"/>
      <c r="B72">
        <v>19</v>
      </c>
      <c r="C72">
        <v>16.45</v>
      </c>
    </row>
    <row r="73" spans="1:3" x14ac:dyDescent="0.3">
      <c r="A73" s="61"/>
      <c r="B73">
        <v>20</v>
      </c>
      <c r="C73">
        <v>15.36</v>
      </c>
    </row>
    <row r="74" spans="1:3" x14ac:dyDescent="0.3">
      <c r="A74" s="61"/>
      <c r="B74">
        <v>21</v>
      </c>
      <c r="C74">
        <v>14.69</v>
      </c>
    </row>
    <row r="75" spans="1:3" x14ac:dyDescent="0.3">
      <c r="A75" s="61"/>
      <c r="B75">
        <v>22</v>
      </c>
      <c r="C75">
        <v>14.95</v>
      </c>
    </row>
    <row r="76" spans="1:3" x14ac:dyDescent="0.3">
      <c r="A76" s="61"/>
      <c r="B76">
        <v>23</v>
      </c>
      <c r="C76">
        <v>15.65</v>
      </c>
    </row>
    <row r="77" spans="1:3" x14ac:dyDescent="0.3">
      <c r="A77" s="61"/>
      <c r="B77">
        <v>24</v>
      </c>
      <c r="C77">
        <v>16.23</v>
      </c>
    </row>
    <row r="78" spans="1:3" x14ac:dyDescent="0.3">
      <c r="A78" s="61"/>
      <c r="B78">
        <v>25</v>
      </c>
      <c r="C78">
        <v>16.86</v>
      </c>
    </row>
    <row r="79" spans="1:3" x14ac:dyDescent="0.3">
      <c r="A79" s="61" t="s">
        <v>3</v>
      </c>
      <c r="B79">
        <v>15</v>
      </c>
      <c r="C79">
        <v>19.86</v>
      </c>
    </row>
    <row r="80" spans="1:3" x14ac:dyDescent="0.3">
      <c r="A80" s="61"/>
      <c r="B80">
        <v>16</v>
      </c>
      <c r="C80">
        <v>19.23</v>
      </c>
    </row>
    <row r="81" spans="1:3" x14ac:dyDescent="0.3">
      <c r="A81" s="61"/>
      <c r="B81">
        <v>17</v>
      </c>
      <c r="C81">
        <v>18.52</v>
      </c>
    </row>
    <row r="82" spans="1:3" x14ac:dyDescent="0.3">
      <c r="A82" s="61"/>
      <c r="B82">
        <v>18</v>
      </c>
      <c r="C82">
        <v>17.760000000000002</v>
      </c>
    </row>
    <row r="83" spans="1:3" x14ac:dyDescent="0.3">
      <c r="A83" s="61"/>
      <c r="B83">
        <v>19</v>
      </c>
      <c r="C83">
        <v>16.64</v>
      </c>
    </row>
    <row r="84" spans="1:3" x14ac:dyDescent="0.3">
      <c r="A84" s="61"/>
      <c r="B84">
        <v>20</v>
      </c>
      <c r="C84">
        <v>15.26</v>
      </c>
    </row>
    <row r="85" spans="1:3" x14ac:dyDescent="0.3">
      <c r="A85" s="61"/>
      <c r="B85">
        <v>21</v>
      </c>
      <c r="C85">
        <v>15.56</v>
      </c>
    </row>
    <row r="86" spans="1:3" x14ac:dyDescent="0.3">
      <c r="A86" s="61"/>
      <c r="B86">
        <v>22</v>
      </c>
      <c r="C86">
        <v>16.02</v>
      </c>
    </row>
    <row r="87" spans="1:3" x14ac:dyDescent="0.3">
      <c r="A87" s="61"/>
      <c r="B87">
        <v>23</v>
      </c>
      <c r="C87">
        <v>16.86</v>
      </c>
    </row>
    <row r="88" spans="1:3" x14ac:dyDescent="0.3">
      <c r="A88" s="61"/>
      <c r="B88">
        <v>24</v>
      </c>
      <c r="C88">
        <v>17.16</v>
      </c>
    </row>
    <row r="89" spans="1:3" x14ac:dyDescent="0.3">
      <c r="A89" s="61"/>
      <c r="B89">
        <v>25</v>
      </c>
      <c r="C89">
        <v>17.690000000000001</v>
      </c>
    </row>
    <row r="90" spans="1:3" x14ac:dyDescent="0.3">
      <c r="A90" s="61" t="s">
        <v>4</v>
      </c>
      <c r="B90">
        <v>15</v>
      </c>
      <c r="C90">
        <v>24.81</v>
      </c>
    </row>
    <row r="91" spans="1:3" x14ac:dyDescent="0.3">
      <c r="A91" s="61"/>
      <c r="B91">
        <v>16</v>
      </c>
      <c r="C91">
        <v>24.36</v>
      </c>
    </row>
    <row r="92" spans="1:3" x14ac:dyDescent="0.3">
      <c r="A92" s="61"/>
      <c r="B92">
        <v>17</v>
      </c>
      <c r="C92">
        <v>23.67</v>
      </c>
    </row>
    <row r="93" spans="1:3" x14ac:dyDescent="0.3">
      <c r="A93" s="61"/>
      <c r="B93">
        <v>18</v>
      </c>
      <c r="C93">
        <v>23.16</v>
      </c>
    </row>
    <row r="94" spans="1:3" x14ac:dyDescent="0.3">
      <c r="A94" s="61"/>
      <c r="B94">
        <v>19</v>
      </c>
      <c r="C94">
        <v>22.69</v>
      </c>
    </row>
    <row r="95" spans="1:3" x14ac:dyDescent="0.3">
      <c r="A95" s="61"/>
      <c r="B95">
        <v>20</v>
      </c>
      <c r="C95">
        <v>22.06</v>
      </c>
    </row>
    <row r="96" spans="1:3" x14ac:dyDescent="0.3">
      <c r="A96" s="61"/>
      <c r="B96">
        <v>21</v>
      </c>
      <c r="C96">
        <v>23.49</v>
      </c>
    </row>
    <row r="97" spans="1:3" x14ac:dyDescent="0.3">
      <c r="A97" s="61"/>
      <c r="B97">
        <v>22</v>
      </c>
      <c r="C97">
        <v>23.91</v>
      </c>
    </row>
    <row r="98" spans="1:3" x14ac:dyDescent="0.3">
      <c r="A98" s="61"/>
      <c r="B98">
        <v>23</v>
      </c>
      <c r="C98">
        <v>24.24</v>
      </c>
    </row>
    <row r="99" spans="1:3" x14ac:dyDescent="0.3">
      <c r="A99" s="61"/>
      <c r="B99">
        <v>24</v>
      </c>
      <c r="C99">
        <v>24.98</v>
      </c>
    </row>
    <row r="100" spans="1:3" x14ac:dyDescent="0.3">
      <c r="A100" s="61"/>
      <c r="B100">
        <v>25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C21" sqref="C21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77" t="s">
        <v>95</v>
      </c>
      <c r="B1" s="74" t="s">
        <v>26</v>
      </c>
      <c r="C1" s="77" t="s">
        <v>23</v>
      </c>
      <c r="D1" s="85" t="s">
        <v>24</v>
      </c>
      <c r="E1" s="74" t="s">
        <v>5</v>
      </c>
      <c r="F1" s="71"/>
      <c r="G1" s="71"/>
      <c r="H1" s="85"/>
      <c r="I1" s="74" t="s">
        <v>9</v>
      </c>
      <c r="J1" s="71"/>
      <c r="K1" s="71"/>
      <c r="L1" s="85"/>
      <c r="M1" s="74" t="s">
        <v>10</v>
      </c>
      <c r="N1" s="85"/>
      <c r="O1" s="74" t="s">
        <v>11</v>
      </c>
      <c r="P1" s="85"/>
    </row>
    <row r="2" spans="1:22" x14ac:dyDescent="0.3">
      <c r="A2" s="78"/>
      <c r="B2" s="75"/>
      <c r="C2" s="78"/>
      <c r="D2" s="86"/>
      <c r="E2" s="75" t="s">
        <v>12</v>
      </c>
      <c r="F2" s="72"/>
      <c r="G2" s="72" t="s">
        <v>13</v>
      </c>
      <c r="H2" s="86"/>
      <c r="I2" s="75" t="s">
        <v>12</v>
      </c>
      <c r="J2" s="72"/>
      <c r="K2" s="72" t="s">
        <v>13</v>
      </c>
      <c r="L2" s="86"/>
      <c r="M2" s="47"/>
      <c r="N2" s="50"/>
      <c r="O2" s="47"/>
      <c r="P2" s="50"/>
    </row>
    <row r="3" spans="1:22" ht="15" thickBot="1" x14ac:dyDescent="0.35">
      <c r="A3" s="79"/>
      <c r="B3" s="76"/>
      <c r="C3" s="79"/>
      <c r="D3" s="87"/>
      <c r="E3" s="48" t="s">
        <v>7</v>
      </c>
      <c r="F3" s="49" t="s">
        <v>8</v>
      </c>
      <c r="G3" s="49" t="s">
        <v>7</v>
      </c>
      <c r="H3" s="51" t="s">
        <v>8</v>
      </c>
      <c r="I3" s="48" t="s">
        <v>7</v>
      </c>
      <c r="J3" s="49" t="s">
        <v>8</v>
      </c>
      <c r="K3" s="49" t="s">
        <v>7</v>
      </c>
      <c r="L3" s="51" t="s">
        <v>8</v>
      </c>
      <c r="M3" s="48" t="s">
        <v>7</v>
      </c>
      <c r="N3" s="51" t="s">
        <v>8</v>
      </c>
      <c r="O3" s="48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0" t="s">
        <v>86</v>
      </c>
      <c r="T4" s="81"/>
      <c r="U4" s="81"/>
      <c r="V4" s="82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80" t="s">
        <v>18</v>
      </c>
      <c r="T9" s="81"/>
      <c r="U9" s="81"/>
      <c r="V9" s="82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80" t="s">
        <v>20</v>
      </c>
      <c r="T14" s="81"/>
      <c r="U14" s="81"/>
      <c r="V14" s="82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AVERAGE(E16:E18)*1000</f>
        <v>10.450000000000001</v>
      </c>
      <c r="F20" s="52">
        <f>AVERAGE(F16:F18)*1000</f>
        <v>6.35</v>
      </c>
      <c r="G20" s="52">
        <f>AVERAGE(G16:G18)</f>
        <v>1.4507500000000002</v>
      </c>
      <c r="H20" s="52">
        <f>AVERAGE(H16:H18)</f>
        <v>0.66490000000000005</v>
      </c>
      <c r="I20" s="52">
        <f>AVERAGE(I16:I18)*1000</f>
        <v>-26.450000000000003</v>
      </c>
      <c r="J20" s="52">
        <f>AVERAGE(J16:J18)*1000</f>
        <v>94</v>
      </c>
      <c r="K20" s="52">
        <f>AVERAGE(K16:K18)</f>
        <v>24.075000000000003</v>
      </c>
      <c r="L20" s="52">
        <f>AVERAGE(L16:L18)</f>
        <v>12.620000000000001</v>
      </c>
      <c r="M20" s="52">
        <f>AVERAGE(M16:M18)*1000</f>
        <v>14.974999999999998</v>
      </c>
      <c r="N20" s="52">
        <f>AVERAGE(N16:N18)*1000</f>
        <v>11</v>
      </c>
      <c r="O20" s="52">
        <f>AVERAGE(O16:O18)*1000</f>
        <v>12.490000000000002</v>
      </c>
      <c r="P20" s="52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Table of contents</vt:lpstr>
      <vt:lpstr>uberseminar</vt:lpstr>
      <vt:lpstr>summary</vt:lpstr>
      <vt:lpstr>hand_trajectory_summary</vt:lpstr>
      <vt:lpstr>CA_124</vt:lpstr>
      <vt:lpstr>CS_301</vt:lpstr>
      <vt:lpstr>CS_301_RED</vt:lpstr>
      <vt:lpstr>depth_calibration</vt:lpstr>
      <vt:lpstr>hand_trajectory</vt:lpstr>
      <vt:lpstr>playground</vt:lpstr>
      <vt:lpstr>hand_trajectory_backup</vt:lpstr>
      <vt:lpstr>hand_trajectory_summary_backup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2021-03-16T10:35:17Z</dcterms:modified>
</cp:coreProperties>
</file>